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intern_apply_projects\no show medical data analysis\"/>
    </mc:Choice>
  </mc:AlternateContent>
  <xr:revisionPtr revIDLastSave="0" documentId="13_ncr:1_{0D1EBFAC-489B-411D-A3E3-FCB509C38B0B}" xr6:coauthVersionLast="47" xr6:coauthVersionMax="47" xr10:uidLastSave="{00000000-0000-0000-0000-000000000000}"/>
  <bookViews>
    <workbookView xWindow="-96" yWindow="0" windowWidth="11712" windowHeight="13056" firstSheet="12" activeTab="12" xr2:uid="{E277F93D-FB46-4321-9C5B-DAACC6D66D41}"/>
  </bookViews>
  <sheets>
    <sheet name="age_analysis" sheetId="1" r:id="rId1"/>
    <sheet name="sms_waiting_days_correlation" sheetId="15" r:id="rId2"/>
    <sheet name="waiting_days_analysis" sheetId="12" r:id="rId3"/>
    <sheet name="waiting_days_category_analysis" sheetId="13" r:id="rId4"/>
    <sheet name="extra_info" sheetId="14" r:id="rId5"/>
    <sheet name="alcoholism_analysis" sheetId="2" r:id="rId6"/>
    <sheet name="appointment_day_analysis" sheetId="3" r:id="rId7"/>
    <sheet name="appointment_month_analysis" sheetId="4" r:id="rId8"/>
    <sheet name="diabetes_analysis" sheetId="5" r:id="rId9"/>
    <sheet name="gender_analysis" sheetId="6" r:id="rId10"/>
    <sheet name="handicapped_analysis" sheetId="7" r:id="rId11"/>
    <sheet name="hypertension_analysis" sheetId="8" r:id="rId12"/>
    <sheet name="neighbourhood_analysis" sheetId="9" r:id="rId13"/>
    <sheet name="scholarship_analysis" sheetId="10" r:id="rId14"/>
    <sheet name="sms_received_analysis" sheetId="11" r:id="rId15"/>
  </sheets>
  <calcPr calcId="181029"/>
</workbook>
</file>

<file path=xl/calcChain.xml><?xml version="1.0" encoding="utf-8"?>
<calcChain xmlns="http://schemas.openxmlformats.org/spreadsheetml/2006/main">
  <c r="E2" i="14" l="1"/>
  <c r="D2" i="14"/>
  <c r="C2" i="14"/>
</calcChain>
</file>

<file path=xl/sharedStrings.xml><?xml version="1.0" encoding="utf-8"?>
<sst xmlns="http://schemas.openxmlformats.org/spreadsheetml/2006/main" count="187" uniqueCount="135">
  <si>
    <t>age_category</t>
  </si>
  <si>
    <t>appointments</t>
  </si>
  <si>
    <t>age_share_%</t>
  </si>
  <si>
    <t>no_show_count</t>
  </si>
  <si>
    <t>no_show_rate_%</t>
  </si>
  <si>
    <t>adult</t>
  </si>
  <si>
    <t>child</t>
  </si>
  <si>
    <t>elderly</t>
  </si>
  <si>
    <t>teenager</t>
  </si>
  <si>
    <t>alcoholism_share_%</t>
  </si>
  <si>
    <t>alcoholism</t>
  </si>
  <si>
    <t>Wednesday</t>
  </si>
  <si>
    <t>Tuesday</t>
  </si>
  <si>
    <t>Thursday</t>
  </si>
  <si>
    <t>Saturday</t>
  </si>
  <si>
    <t>Monday</t>
  </si>
  <si>
    <t>Friday</t>
  </si>
  <si>
    <t>day_share_%</t>
  </si>
  <si>
    <t>day_of_week</t>
  </si>
  <si>
    <t>May</t>
  </si>
  <si>
    <t>June</t>
  </si>
  <si>
    <t>April</t>
  </si>
  <si>
    <t>month_share_%</t>
  </si>
  <si>
    <t>month</t>
  </si>
  <si>
    <t>diabetes_share_%</t>
  </si>
  <si>
    <t>diabetes</t>
  </si>
  <si>
    <t>M</t>
  </si>
  <si>
    <t>F</t>
  </si>
  <si>
    <t>gender_share_%</t>
  </si>
  <si>
    <t>gender</t>
  </si>
  <si>
    <t>handicapped_share_%</t>
  </si>
  <si>
    <t>handicapped</t>
  </si>
  <si>
    <t>hypertension_share_%</t>
  </si>
  <si>
    <t>hypertension</t>
  </si>
  <si>
    <t>VILA RUBIM</t>
  </si>
  <si>
    <t>TABUAZEIRO</t>
  </si>
  <si>
    <t>SOLON BORGES</t>
  </si>
  <si>
    <t>SANTOS REIS</t>
  </si>
  <si>
    <t>SANTOS DUMONT</t>
  </si>
  <si>
    <t>SANTA TEREZA</t>
  </si>
  <si>
    <t>SANTA MARTHA</t>
  </si>
  <si>
    <t>SANTA HELENA</t>
  </si>
  <si>
    <t>SANTA CLARA</t>
  </si>
  <si>
    <t>PRAIA DO CANTO</t>
  </si>
  <si>
    <t>PONTAL DE CAMBURI</t>
  </si>
  <si>
    <t>PIEDADE</t>
  </si>
  <si>
    <t>PARQUE MOSCOSO</t>
  </si>
  <si>
    <t>NOVA PALESTINA</t>
  </si>
  <si>
    <t>NAZARETH</t>
  </si>
  <si>
    <t>MORADA DE CAMBURI</t>
  </si>
  <si>
    <t>MONTE BELO</t>
  </si>
  <si>
    <t>MATA DA PRAIA</t>
  </si>
  <si>
    <t>MARIA ORTIZ</t>
  </si>
  <si>
    <t>JUCUTUQUARA</t>
  </si>
  <si>
    <t>JESUS DE NAZARETH</t>
  </si>
  <si>
    <t>JARDIM DA PENHA</t>
  </si>
  <si>
    <t>JARDIM CAMBURI</t>
  </si>
  <si>
    <t>JABOUR</t>
  </si>
  <si>
    <t>ILHA DO FRADE</t>
  </si>
  <si>
    <t>ILHA DO BOI</t>
  </si>
  <si>
    <t>ILHA DE SANTA MARIA</t>
  </si>
  <si>
    <t>ILHA DAS CAIEIRAS</t>
  </si>
  <si>
    <t>HORTO</t>
  </si>
  <si>
    <t>GURIGICA</t>
  </si>
  <si>
    <t>GOIABEIRAS</t>
  </si>
  <si>
    <t>FRADINHOS</t>
  </si>
  <si>
    <t>FONTE GRANDE</t>
  </si>
  <si>
    <t>ESTRELINHA</t>
  </si>
  <si>
    <t>DO QUADRO</t>
  </si>
  <si>
    <t>DO MOSCOSO</t>
  </si>
  <si>
    <t>DO CABRAL</t>
  </si>
  <si>
    <t>DE LOURDES</t>
  </si>
  <si>
    <t>DA PENHA</t>
  </si>
  <si>
    <t>CRUZAMENTO</t>
  </si>
  <si>
    <t>CONQUISTA</t>
  </si>
  <si>
    <t>COMDUSA</t>
  </si>
  <si>
    <t>CENTRO</t>
  </si>
  <si>
    <t>BONFIM</t>
  </si>
  <si>
    <t>BOA VISTA</t>
  </si>
  <si>
    <t>BENTO FERREIRA</t>
  </si>
  <si>
    <t>BELA VISTA</t>
  </si>
  <si>
    <t>BARRO VERMELHO</t>
  </si>
  <si>
    <t>ARIOVALDO FAVALESSA</t>
  </si>
  <si>
    <t>ANDORINHAS</t>
  </si>
  <si>
    <t>AEROPORTO</t>
  </si>
  <si>
    <t>neighbourhood_share_%</t>
  </si>
  <si>
    <t>neighbourhood</t>
  </si>
  <si>
    <t>scholarship_share_%</t>
  </si>
  <si>
    <t>scholarship</t>
  </si>
  <si>
    <t>sms_received_share_%</t>
  </si>
  <si>
    <t>sms_received</t>
  </si>
  <si>
    <t>waiting_days_share_%</t>
  </si>
  <si>
    <t>waiting_days</t>
  </si>
  <si>
    <t>within a week</t>
  </si>
  <si>
    <t>within a month</t>
  </si>
  <si>
    <t>same day</t>
  </si>
  <si>
    <t>long wait</t>
  </si>
  <si>
    <t>waiting_days_category</t>
  </si>
  <si>
    <t>total_appointments</t>
  </si>
  <si>
    <t>no_show</t>
  </si>
  <si>
    <t>attended</t>
  </si>
  <si>
    <t>no_show_%</t>
  </si>
  <si>
    <t>attended_%</t>
  </si>
  <si>
    <t>SMS Received</t>
  </si>
  <si>
    <t>No SMS</t>
  </si>
  <si>
    <t>count</t>
  </si>
  <si>
    <t>UNIVERSITÁRIO</t>
  </si>
  <si>
    <t>SÃO PEDRO</t>
  </si>
  <si>
    <t>SÃO JOSÉ</t>
  </si>
  <si>
    <t>SÃO CRISTÓVÃO</t>
  </si>
  <si>
    <t>SÃO BENEDITO</t>
  </si>
  <si>
    <t>SEGURANÇA DO LAR</t>
  </si>
  <si>
    <t>SANTO ANTÔNIO</t>
  </si>
  <si>
    <t>SANTO ANDRÉ</t>
  </si>
  <si>
    <t>SANTA LÚCIA</t>
  </si>
  <si>
    <t>SANTA LUÍZA</t>
  </si>
  <si>
    <t>SANTA CECÍLIA</t>
  </si>
  <si>
    <t>ROMÃO</t>
  </si>
  <si>
    <t>RESISTÊNCIA</t>
  </si>
  <si>
    <t>REPÚBLICA</t>
  </si>
  <si>
    <t>REDENÇÃO</t>
  </si>
  <si>
    <t>PRAIA DO SUÁ</t>
  </si>
  <si>
    <t>MÁRIO CYPRESTE</t>
  </si>
  <si>
    <t>MARUÍPE</t>
  </si>
  <si>
    <t>JOANA D´ARC</t>
  </si>
  <si>
    <t>ITARARÉ</t>
  </si>
  <si>
    <t>INHANGUETÁ</t>
  </si>
  <si>
    <t>ILHAS OCEÂNICAS DE TRINDADE</t>
  </si>
  <si>
    <t>ILHA DO PRÍNCIPE</t>
  </si>
  <si>
    <t>GRANDE VITÓRIA</t>
  </si>
  <si>
    <t>FORTE SÃO JOÃO</t>
  </si>
  <si>
    <t>ENSEADA DO SUÁ</t>
  </si>
  <si>
    <t>CONSOLAÇÃO</t>
  </si>
  <si>
    <t>CARATOÍRA</t>
  </si>
  <si>
    <t>ANTÔNIO HONÓRIO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</si>
</sst>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5227-47AE-4107-9AD4-8CD42C76462C}">
  <dimension ref="A1:E5"/>
  <sheetViews>
    <sheetView workbookViewId="0">
      <selection activeCell="F2" sqref="F2"/>
    </sheetView>
  </sheetViews>
  <sheetFormatPr defaultRowHeight="14.4" x14ac:dyDescent="0.3"/>
  <cols>
    <col min="1" max="1" width="12" bestFit="1" customWidth="1"/>
    <col min="2" max="2" width="12.21875" bestFit="1" customWidth="1"/>
    <col min="3" max="3" width="11.77734375" bestFit="1" customWidth="1"/>
    <col min="4" max="4" width="14.21875" bestFit="1" customWidth="1"/>
    <col min="5" max="5" width="15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61971</v>
      </c>
      <c r="C2">
        <v>56.07</v>
      </c>
      <c r="D2">
        <v>13077</v>
      </c>
      <c r="E2">
        <v>21.1</v>
      </c>
    </row>
    <row r="3" spans="1:5" x14ac:dyDescent="0.3">
      <c r="A3" t="s">
        <v>6</v>
      </c>
      <c r="B3">
        <v>21036</v>
      </c>
      <c r="C3">
        <v>19.03</v>
      </c>
      <c r="D3">
        <v>4306</v>
      </c>
      <c r="E3">
        <v>20.47</v>
      </c>
    </row>
    <row r="4" spans="1:5" x14ac:dyDescent="0.3">
      <c r="A4" t="s">
        <v>7</v>
      </c>
      <c r="B4">
        <v>21172</v>
      </c>
      <c r="C4">
        <v>19.16</v>
      </c>
      <c r="D4">
        <v>3241</v>
      </c>
      <c r="E4">
        <v>15.31</v>
      </c>
    </row>
    <row r="5" spans="1:5" x14ac:dyDescent="0.3">
      <c r="A5" t="s">
        <v>8</v>
      </c>
      <c r="B5">
        <v>6343</v>
      </c>
      <c r="C5">
        <v>5.74</v>
      </c>
      <c r="D5">
        <v>1690</v>
      </c>
      <c r="E5">
        <v>26.64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1064-5949-4B3B-8924-D00A77F09B30}">
  <dimension ref="A1:E8"/>
  <sheetViews>
    <sheetView workbookViewId="0">
      <selection activeCell="F23" sqref="F23"/>
    </sheetView>
  </sheetViews>
  <sheetFormatPr defaultRowHeight="14.4" x14ac:dyDescent="0.3"/>
  <sheetData>
    <row r="1" spans="1:5" x14ac:dyDescent="0.3">
      <c r="A1" t="s">
        <v>97</v>
      </c>
      <c r="B1" t="s">
        <v>90</v>
      </c>
      <c r="C1" t="s">
        <v>105</v>
      </c>
      <c r="D1" t="s">
        <v>99</v>
      </c>
      <c r="E1" t="s">
        <v>101</v>
      </c>
    </row>
    <row r="2" spans="1:5" x14ac:dyDescent="0.3">
      <c r="A2" t="s">
        <v>96</v>
      </c>
      <c r="B2" t="s">
        <v>104</v>
      </c>
      <c r="C2">
        <v>3968</v>
      </c>
      <c r="D2">
        <v>1489</v>
      </c>
      <c r="E2">
        <v>37.53</v>
      </c>
    </row>
    <row r="3" spans="1:5" x14ac:dyDescent="0.3">
      <c r="A3" t="s">
        <v>96</v>
      </c>
      <c r="B3" t="s">
        <v>103</v>
      </c>
      <c r="C3">
        <v>6410</v>
      </c>
      <c r="D3">
        <v>1936</v>
      </c>
      <c r="E3">
        <v>30.2</v>
      </c>
    </row>
    <row r="4" spans="1:5" x14ac:dyDescent="0.3">
      <c r="A4" t="s">
        <v>95</v>
      </c>
      <c r="B4" t="s">
        <v>104</v>
      </c>
      <c r="C4">
        <v>38563</v>
      </c>
      <c r="D4">
        <v>1792</v>
      </c>
      <c r="E4">
        <v>4.6500000000000004</v>
      </c>
    </row>
    <row r="5" spans="1:5" x14ac:dyDescent="0.3">
      <c r="A5" t="s">
        <v>94</v>
      </c>
      <c r="B5" t="s">
        <v>104</v>
      </c>
      <c r="C5">
        <v>11872</v>
      </c>
      <c r="D5">
        <v>4221</v>
      </c>
      <c r="E5">
        <v>35.549999999999997</v>
      </c>
    </row>
    <row r="6" spans="1:5" x14ac:dyDescent="0.3">
      <c r="A6" t="s">
        <v>94</v>
      </c>
      <c r="B6" t="s">
        <v>103</v>
      </c>
      <c r="C6">
        <v>17524</v>
      </c>
      <c r="D6">
        <v>5104</v>
      </c>
      <c r="E6">
        <v>29.13</v>
      </c>
    </row>
    <row r="7" spans="1:5" x14ac:dyDescent="0.3">
      <c r="A7" t="s">
        <v>93</v>
      </c>
      <c r="B7" t="s">
        <v>104</v>
      </c>
      <c r="C7">
        <v>20637</v>
      </c>
      <c r="D7">
        <v>5028</v>
      </c>
      <c r="E7">
        <v>24.36</v>
      </c>
    </row>
    <row r="8" spans="1:5" x14ac:dyDescent="0.3">
      <c r="A8" t="s">
        <v>93</v>
      </c>
      <c r="B8" t="s">
        <v>103</v>
      </c>
      <c r="C8">
        <v>11548</v>
      </c>
      <c r="D8">
        <v>2744</v>
      </c>
      <c r="E8">
        <v>23.76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8171-C10C-49A3-83F8-62A5C9C4D7D7}">
  <dimension ref="A1:E112"/>
  <sheetViews>
    <sheetView workbookViewId="0">
      <selection sqref="A1:E1048576"/>
    </sheetView>
  </sheetViews>
  <sheetFormatPr defaultRowHeight="14.4" x14ac:dyDescent="0.3"/>
  <sheetData>
    <row r="1" spans="1:5" x14ac:dyDescent="0.3">
      <c r="A1" t="s">
        <v>92</v>
      </c>
      <c r="B1" t="s">
        <v>1</v>
      </c>
      <c r="C1" t="s">
        <v>91</v>
      </c>
      <c r="D1" t="s">
        <v>3</v>
      </c>
      <c r="E1" t="s">
        <v>4</v>
      </c>
    </row>
    <row r="2" spans="1:5" x14ac:dyDescent="0.3">
      <c r="A2">
        <v>0</v>
      </c>
      <c r="B2">
        <v>38563</v>
      </c>
      <c r="C2">
        <v>34.89</v>
      </c>
      <c r="D2">
        <v>1792</v>
      </c>
      <c r="E2">
        <v>4.6500000000000004</v>
      </c>
    </row>
    <row r="3" spans="1:5" x14ac:dyDescent="0.3">
      <c r="A3">
        <v>1</v>
      </c>
      <c r="B3">
        <v>5213</v>
      </c>
      <c r="C3">
        <v>4.72</v>
      </c>
      <c r="D3">
        <v>1113</v>
      </c>
      <c r="E3">
        <v>21.35</v>
      </c>
    </row>
    <row r="4" spans="1:5" x14ac:dyDescent="0.3">
      <c r="A4">
        <v>2</v>
      </c>
      <c r="B4">
        <v>6725</v>
      </c>
      <c r="C4">
        <v>6.08</v>
      </c>
      <c r="D4">
        <v>1602</v>
      </c>
      <c r="E4">
        <v>23.82</v>
      </c>
    </row>
    <row r="5" spans="1:5" x14ac:dyDescent="0.3">
      <c r="A5">
        <v>3</v>
      </c>
      <c r="B5">
        <v>2737</v>
      </c>
      <c r="C5">
        <v>2.48</v>
      </c>
      <c r="D5">
        <v>644</v>
      </c>
      <c r="E5">
        <v>23.53</v>
      </c>
    </row>
    <row r="6" spans="1:5" x14ac:dyDescent="0.3">
      <c r="A6">
        <v>4</v>
      </c>
      <c r="B6">
        <v>5290</v>
      </c>
      <c r="C6">
        <v>4.79</v>
      </c>
      <c r="D6">
        <v>1231</v>
      </c>
      <c r="E6">
        <v>23.27</v>
      </c>
    </row>
    <row r="7" spans="1:5" x14ac:dyDescent="0.3">
      <c r="A7">
        <v>5</v>
      </c>
      <c r="B7">
        <v>3277</v>
      </c>
      <c r="C7">
        <v>2.97</v>
      </c>
      <c r="D7">
        <v>872</v>
      </c>
      <c r="E7">
        <v>26.61</v>
      </c>
    </row>
    <row r="8" spans="1:5" x14ac:dyDescent="0.3">
      <c r="A8">
        <v>6</v>
      </c>
      <c r="B8">
        <v>4037</v>
      </c>
      <c r="C8">
        <v>3.65</v>
      </c>
      <c r="D8">
        <v>1001</v>
      </c>
      <c r="E8">
        <v>24.8</v>
      </c>
    </row>
    <row r="9" spans="1:5" x14ac:dyDescent="0.3">
      <c r="A9">
        <v>7</v>
      </c>
      <c r="B9">
        <v>4906</v>
      </c>
      <c r="C9">
        <v>4.4400000000000004</v>
      </c>
      <c r="D9">
        <v>1309</v>
      </c>
      <c r="E9">
        <v>26.68</v>
      </c>
    </row>
    <row r="10" spans="1:5" x14ac:dyDescent="0.3">
      <c r="A10">
        <v>8</v>
      </c>
      <c r="B10">
        <v>2332</v>
      </c>
      <c r="C10">
        <v>2.11</v>
      </c>
      <c r="D10">
        <v>670</v>
      </c>
      <c r="E10">
        <v>28.73</v>
      </c>
    </row>
    <row r="11" spans="1:5" x14ac:dyDescent="0.3">
      <c r="A11">
        <v>9</v>
      </c>
      <c r="B11">
        <v>1605</v>
      </c>
      <c r="C11">
        <v>1.45</v>
      </c>
      <c r="D11">
        <v>440</v>
      </c>
      <c r="E11">
        <v>27.41</v>
      </c>
    </row>
    <row r="12" spans="1:5" x14ac:dyDescent="0.3">
      <c r="A12">
        <v>10</v>
      </c>
      <c r="B12">
        <v>1391</v>
      </c>
      <c r="C12">
        <v>1.26</v>
      </c>
      <c r="D12">
        <v>440</v>
      </c>
      <c r="E12">
        <v>31.63</v>
      </c>
    </row>
    <row r="13" spans="1:5" x14ac:dyDescent="0.3">
      <c r="A13">
        <v>11</v>
      </c>
      <c r="B13">
        <v>987</v>
      </c>
      <c r="C13">
        <v>0.89</v>
      </c>
      <c r="D13">
        <v>312</v>
      </c>
      <c r="E13">
        <v>31.61</v>
      </c>
    </row>
    <row r="14" spans="1:5" x14ac:dyDescent="0.3">
      <c r="A14">
        <v>12</v>
      </c>
      <c r="B14">
        <v>1115</v>
      </c>
      <c r="C14">
        <v>1.01</v>
      </c>
      <c r="D14">
        <v>353</v>
      </c>
      <c r="E14">
        <v>31.66</v>
      </c>
    </row>
    <row r="15" spans="1:5" x14ac:dyDescent="0.3">
      <c r="A15">
        <v>13</v>
      </c>
      <c r="B15">
        <v>1682</v>
      </c>
      <c r="C15">
        <v>1.52</v>
      </c>
      <c r="D15">
        <v>536</v>
      </c>
      <c r="E15">
        <v>31.87</v>
      </c>
    </row>
    <row r="16" spans="1:5" x14ac:dyDescent="0.3">
      <c r="A16">
        <v>14</v>
      </c>
      <c r="B16">
        <v>2913</v>
      </c>
      <c r="C16">
        <v>2.64</v>
      </c>
      <c r="D16">
        <v>913</v>
      </c>
      <c r="E16">
        <v>31.34</v>
      </c>
    </row>
    <row r="17" spans="1:5" x14ac:dyDescent="0.3">
      <c r="A17">
        <v>15</v>
      </c>
      <c r="B17">
        <v>1503</v>
      </c>
      <c r="C17">
        <v>1.36</v>
      </c>
      <c r="D17">
        <v>502</v>
      </c>
      <c r="E17">
        <v>33.4</v>
      </c>
    </row>
    <row r="18" spans="1:5" x14ac:dyDescent="0.3">
      <c r="A18">
        <v>16</v>
      </c>
      <c r="B18">
        <v>1151</v>
      </c>
      <c r="C18">
        <v>1.04</v>
      </c>
      <c r="D18">
        <v>351</v>
      </c>
      <c r="E18">
        <v>30.5</v>
      </c>
    </row>
    <row r="19" spans="1:5" x14ac:dyDescent="0.3">
      <c r="A19">
        <v>17</v>
      </c>
      <c r="B19">
        <v>1107</v>
      </c>
      <c r="C19">
        <v>1</v>
      </c>
      <c r="D19">
        <v>350</v>
      </c>
      <c r="E19">
        <v>31.62</v>
      </c>
    </row>
    <row r="20" spans="1:5" x14ac:dyDescent="0.3">
      <c r="A20">
        <v>18</v>
      </c>
      <c r="B20">
        <v>1021</v>
      </c>
      <c r="C20">
        <v>0.92</v>
      </c>
      <c r="D20">
        <v>312</v>
      </c>
      <c r="E20">
        <v>30.56</v>
      </c>
    </row>
    <row r="21" spans="1:5" x14ac:dyDescent="0.3">
      <c r="A21">
        <v>19</v>
      </c>
      <c r="B21">
        <v>1044</v>
      </c>
      <c r="C21">
        <v>0.94</v>
      </c>
      <c r="D21">
        <v>363</v>
      </c>
      <c r="E21">
        <v>34.770000000000003</v>
      </c>
    </row>
    <row r="22" spans="1:5" x14ac:dyDescent="0.3">
      <c r="A22">
        <v>20</v>
      </c>
      <c r="B22">
        <v>1187</v>
      </c>
      <c r="C22">
        <v>1.07</v>
      </c>
      <c r="D22">
        <v>408</v>
      </c>
      <c r="E22">
        <v>34.369999999999997</v>
      </c>
    </row>
    <row r="23" spans="1:5" x14ac:dyDescent="0.3">
      <c r="A23">
        <v>21</v>
      </c>
      <c r="B23">
        <v>1861</v>
      </c>
      <c r="C23">
        <v>1.68</v>
      </c>
      <c r="D23">
        <v>575</v>
      </c>
      <c r="E23">
        <v>30.9</v>
      </c>
    </row>
    <row r="24" spans="1:5" x14ac:dyDescent="0.3">
      <c r="A24">
        <v>22</v>
      </c>
      <c r="B24">
        <v>1173</v>
      </c>
      <c r="C24">
        <v>1.06</v>
      </c>
      <c r="D24">
        <v>404</v>
      </c>
      <c r="E24">
        <v>34.44</v>
      </c>
    </row>
    <row r="25" spans="1:5" x14ac:dyDescent="0.3">
      <c r="A25">
        <v>23</v>
      </c>
      <c r="B25">
        <v>822</v>
      </c>
      <c r="C25">
        <v>0.74</v>
      </c>
      <c r="D25">
        <v>276</v>
      </c>
      <c r="E25">
        <v>33.58</v>
      </c>
    </row>
    <row r="26" spans="1:5" x14ac:dyDescent="0.3">
      <c r="A26">
        <v>24</v>
      </c>
      <c r="B26">
        <v>622</v>
      </c>
      <c r="C26">
        <v>0.56000000000000005</v>
      </c>
      <c r="D26">
        <v>235</v>
      </c>
      <c r="E26">
        <v>37.78</v>
      </c>
    </row>
    <row r="27" spans="1:5" x14ac:dyDescent="0.3">
      <c r="A27">
        <v>25</v>
      </c>
      <c r="B27">
        <v>637</v>
      </c>
      <c r="C27">
        <v>0.57999999999999996</v>
      </c>
      <c r="D27">
        <v>256</v>
      </c>
      <c r="E27">
        <v>40.19</v>
      </c>
    </row>
    <row r="28" spans="1:5" x14ac:dyDescent="0.3">
      <c r="A28">
        <v>26</v>
      </c>
      <c r="B28">
        <v>731</v>
      </c>
      <c r="C28">
        <v>0.66</v>
      </c>
      <c r="D28">
        <v>263</v>
      </c>
      <c r="E28">
        <v>35.979999999999997</v>
      </c>
    </row>
    <row r="29" spans="1:5" x14ac:dyDescent="0.3">
      <c r="A29">
        <v>27</v>
      </c>
      <c r="B29">
        <v>1013</v>
      </c>
      <c r="C29">
        <v>0.92</v>
      </c>
      <c r="D29">
        <v>320</v>
      </c>
      <c r="E29">
        <v>31.59</v>
      </c>
    </row>
    <row r="30" spans="1:5" x14ac:dyDescent="0.3">
      <c r="A30">
        <v>28</v>
      </c>
      <c r="B30">
        <v>1706</v>
      </c>
      <c r="C30">
        <v>1.54</v>
      </c>
      <c r="D30">
        <v>503</v>
      </c>
      <c r="E30">
        <v>29.48</v>
      </c>
    </row>
    <row r="31" spans="1:5" x14ac:dyDescent="0.3">
      <c r="A31">
        <v>29</v>
      </c>
      <c r="B31">
        <v>1089</v>
      </c>
      <c r="C31">
        <v>0.99</v>
      </c>
      <c r="D31">
        <v>356</v>
      </c>
      <c r="E31">
        <v>32.69</v>
      </c>
    </row>
    <row r="32" spans="1:5" x14ac:dyDescent="0.3">
      <c r="A32">
        <v>30</v>
      </c>
      <c r="B32">
        <v>704</v>
      </c>
      <c r="C32">
        <v>0.64</v>
      </c>
      <c r="D32">
        <v>187</v>
      </c>
      <c r="E32">
        <v>26.56</v>
      </c>
    </row>
    <row r="33" spans="1:5" x14ac:dyDescent="0.3">
      <c r="A33">
        <v>31</v>
      </c>
      <c r="B33">
        <v>672</v>
      </c>
      <c r="C33">
        <v>0.61</v>
      </c>
      <c r="D33">
        <v>220</v>
      </c>
      <c r="E33">
        <v>32.74</v>
      </c>
    </row>
    <row r="34" spans="1:5" x14ac:dyDescent="0.3">
      <c r="A34">
        <v>32</v>
      </c>
      <c r="B34">
        <v>586</v>
      </c>
      <c r="C34">
        <v>0.53</v>
      </c>
      <c r="D34">
        <v>206</v>
      </c>
      <c r="E34">
        <v>35.15</v>
      </c>
    </row>
    <row r="35" spans="1:5" x14ac:dyDescent="0.3">
      <c r="A35">
        <v>33</v>
      </c>
      <c r="B35">
        <v>664</v>
      </c>
      <c r="C35">
        <v>0.6</v>
      </c>
      <c r="D35">
        <v>222</v>
      </c>
      <c r="E35">
        <v>33.43</v>
      </c>
    </row>
    <row r="36" spans="1:5" x14ac:dyDescent="0.3">
      <c r="A36">
        <v>34</v>
      </c>
      <c r="B36">
        <v>808</v>
      </c>
      <c r="C36">
        <v>0.73</v>
      </c>
      <c r="D36">
        <v>270</v>
      </c>
      <c r="E36">
        <v>33.42</v>
      </c>
    </row>
    <row r="37" spans="1:5" x14ac:dyDescent="0.3">
      <c r="A37">
        <v>35</v>
      </c>
      <c r="B37">
        <v>963</v>
      </c>
      <c r="C37">
        <v>0.87</v>
      </c>
      <c r="D37">
        <v>359</v>
      </c>
      <c r="E37">
        <v>37.28</v>
      </c>
    </row>
    <row r="38" spans="1:5" x14ac:dyDescent="0.3">
      <c r="A38">
        <v>36</v>
      </c>
      <c r="B38">
        <v>551</v>
      </c>
      <c r="C38">
        <v>0.5</v>
      </c>
      <c r="D38">
        <v>171</v>
      </c>
      <c r="E38">
        <v>31.03</v>
      </c>
    </row>
    <row r="39" spans="1:5" x14ac:dyDescent="0.3">
      <c r="A39">
        <v>37</v>
      </c>
      <c r="B39">
        <v>331</v>
      </c>
      <c r="C39">
        <v>0.3</v>
      </c>
      <c r="D39">
        <v>119</v>
      </c>
      <c r="E39">
        <v>35.950000000000003</v>
      </c>
    </row>
    <row r="40" spans="1:5" x14ac:dyDescent="0.3">
      <c r="A40">
        <v>38</v>
      </c>
      <c r="B40">
        <v>199</v>
      </c>
      <c r="C40">
        <v>0.18</v>
      </c>
      <c r="D40">
        <v>68</v>
      </c>
      <c r="E40">
        <v>34.17</v>
      </c>
    </row>
    <row r="41" spans="1:5" x14ac:dyDescent="0.3">
      <c r="A41">
        <v>39</v>
      </c>
      <c r="B41">
        <v>170</v>
      </c>
      <c r="C41">
        <v>0.15</v>
      </c>
      <c r="D41">
        <v>55</v>
      </c>
      <c r="E41">
        <v>32.35</v>
      </c>
    </row>
    <row r="42" spans="1:5" x14ac:dyDescent="0.3">
      <c r="A42">
        <v>40</v>
      </c>
      <c r="B42">
        <v>254</v>
      </c>
      <c r="C42">
        <v>0.23</v>
      </c>
      <c r="D42">
        <v>103</v>
      </c>
      <c r="E42">
        <v>40.549999999999997</v>
      </c>
    </row>
    <row r="43" spans="1:5" x14ac:dyDescent="0.3">
      <c r="A43">
        <v>41</v>
      </c>
      <c r="B43">
        <v>342</v>
      </c>
      <c r="C43">
        <v>0.31</v>
      </c>
      <c r="D43">
        <v>121</v>
      </c>
      <c r="E43">
        <v>35.380000000000003</v>
      </c>
    </row>
    <row r="44" spans="1:5" x14ac:dyDescent="0.3">
      <c r="A44">
        <v>42</v>
      </c>
      <c r="B44">
        <v>417</v>
      </c>
      <c r="C44">
        <v>0.38</v>
      </c>
      <c r="D44">
        <v>154</v>
      </c>
      <c r="E44">
        <v>36.93</v>
      </c>
    </row>
    <row r="45" spans="1:5" x14ac:dyDescent="0.3">
      <c r="A45">
        <v>43</v>
      </c>
      <c r="B45">
        <v>254</v>
      </c>
      <c r="C45">
        <v>0.23</v>
      </c>
      <c r="D45">
        <v>76</v>
      </c>
      <c r="E45">
        <v>29.92</v>
      </c>
    </row>
    <row r="46" spans="1:5" x14ac:dyDescent="0.3">
      <c r="A46">
        <v>44</v>
      </c>
      <c r="B46">
        <v>157</v>
      </c>
      <c r="C46">
        <v>0.14000000000000001</v>
      </c>
      <c r="D46">
        <v>47</v>
      </c>
      <c r="E46">
        <v>29.94</v>
      </c>
    </row>
    <row r="47" spans="1:5" x14ac:dyDescent="0.3">
      <c r="A47">
        <v>45</v>
      </c>
      <c r="B47">
        <v>137</v>
      </c>
      <c r="C47">
        <v>0.12</v>
      </c>
      <c r="D47">
        <v>50</v>
      </c>
      <c r="E47">
        <v>36.5</v>
      </c>
    </row>
    <row r="48" spans="1:5" x14ac:dyDescent="0.3">
      <c r="A48">
        <v>46</v>
      </c>
      <c r="B48">
        <v>121</v>
      </c>
      <c r="C48">
        <v>0.11</v>
      </c>
      <c r="D48">
        <v>44</v>
      </c>
      <c r="E48">
        <v>36.36</v>
      </c>
    </row>
    <row r="49" spans="1:5" x14ac:dyDescent="0.3">
      <c r="A49">
        <v>47</v>
      </c>
      <c r="B49">
        <v>109</v>
      </c>
      <c r="C49">
        <v>0.1</v>
      </c>
      <c r="D49">
        <v>33</v>
      </c>
      <c r="E49">
        <v>30.28</v>
      </c>
    </row>
    <row r="50" spans="1:5" x14ac:dyDescent="0.3">
      <c r="A50">
        <v>48</v>
      </c>
      <c r="B50">
        <v>117</v>
      </c>
      <c r="C50">
        <v>0.11</v>
      </c>
      <c r="D50">
        <v>34</v>
      </c>
      <c r="E50">
        <v>29.06</v>
      </c>
    </row>
    <row r="51" spans="1:5" x14ac:dyDescent="0.3">
      <c r="A51">
        <v>49</v>
      </c>
      <c r="B51">
        <v>216</v>
      </c>
      <c r="C51">
        <v>0.2</v>
      </c>
      <c r="D51">
        <v>75</v>
      </c>
      <c r="E51">
        <v>34.72</v>
      </c>
    </row>
    <row r="52" spans="1:5" x14ac:dyDescent="0.3">
      <c r="A52">
        <v>50</v>
      </c>
      <c r="B52">
        <v>182</v>
      </c>
      <c r="C52">
        <v>0.16</v>
      </c>
      <c r="D52">
        <v>49</v>
      </c>
      <c r="E52">
        <v>26.92</v>
      </c>
    </row>
    <row r="53" spans="1:5" x14ac:dyDescent="0.3">
      <c r="A53">
        <v>51</v>
      </c>
      <c r="B53">
        <v>91</v>
      </c>
      <c r="C53">
        <v>0.08</v>
      </c>
      <c r="D53">
        <v>33</v>
      </c>
      <c r="E53">
        <v>36.26</v>
      </c>
    </row>
    <row r="54" spans="1:5" x14ac:dyDescent="0.3">
      <c r="A54">
        <v>52</v>
      </c>
      <c r="B54">
        <v>90</v>
      </c>
      <c r="C54">
        <v>0.08</v>
      </c>
      <c r="D54">
        <v>23</v>
      </c>
      <c r="E54">
        <v>25.56</v>
      </c>
    </row>
    <row r="55" spans="1:5" x14ac:dyDescent="0.3">
      <c r="A55">
        <v>53</v>
      </c>
      <c r="B55">
        <v>96</v>
      </c>
      <c r="C55">
        <v>0.09</v>
      </c>
      <c r="D55">
        <v>33</v>
      </c>
      <c r="E55">
        <v>34.380000000000003</v>
      </c>
    </row>
    <row r="56" spans="1:5" x14ac:dyDescent="0.3">
      <c r="A56">
        <v>54</v>
      </c>
      <c r="B56">
        <v>73</v>
      </c>
      <c r="C56">
        <v>7.0000000000000007E-2</v>
      </c>
      <c r="D56">
        <v>27</v>
      </c>
      <c r="E56">
        <v>36.99</v>
      </c>
    </row>
    <row r="57" spans="1:5" x14ac:dyDescent="0.3">
      <c r="A57">
        <v>55</v>
      </c>
      <c r="B57">
        <v>109</v>
      </c>
      <c r="C57">
        <v>0.1</v>
      </c>
      <c r="D57">
        <v>49</v>
      </c>
      <c r="E57">
        <v>44.95</v>
      </c>
    </row>
    <row r="58" spans="1:5" x14ac:dyDescent="0.3">
      <c r="A58">
        <v>56</v>
      </c>
      <c r="B58">
        <v>203</v>
      </c>
      <c r="C58">
        <v>0.18</v>
      </c>
      <c r="D58">
        <v>51</v>
      </c>
      <c r="E58">
        <v>25.12</v>
      </c>
    </row>
    <row r="59" spans="1:5" x14ac:dyDescent="0.3">
      <c r="A59">
        <v>57</v>
      </c>
      <c r="B59">
        <v>98</v>
      </c>
      <c r="C59">
        <v>0.09</v>
      </c>
      <c r="D59">
        <v>37</v>
      </c>
      <c r="E59">
        <v>37.76</v>
      </c>
    </row>
    <row r="60" spans="1:5" x14ac:dyDescent="0.3">
      <c r="A60">
        <v>58</v>
      </c>
      <c r="B60">
        <v>110</v>
      </c>
      <c r="C60">
        <v>0.1</v>
      </c>
      <c r="D60">
        <v>36</v>
      </c>
      <c r="E60">
        <v>32.729999999999997</v>
      </c>
    </row>
    <row r="61" spans="1:5" x14ac:dyDescent="0.3">
      <c r="A61">
        <v>59</v>
      </c>
      <c r="B61">
        <v>90</v>
      </c>
      <c r="C61">
        <v>0.08</v>
      </c>
      <c r="D61">
        <v>33</v>
      </c>
      <c r="E61">
        <v>36.67</v>
      </c>
    </row>
    <row r="62" spans="1:5" x14ac:dyDescent="0.3">
      <c r="A62">
        <v>60</v>
      </c>
      <c r="B62">
        <v>73</v>
      </c>
      <c r="C62">
        <v>7.0000000000000007E-2</v>
      </c>
      <c r="D62">
        <v>31</v>
      </c>
      <c r="E62">
        <v>42.47</v>
      </c>
    </row>
    <row r="63" spans="1:5" x14ac:dyDescent="0.3">
      <c r="A63">
        <v>61</v>
      </c>
      <c r="B63">
        <v>135</v>
      </c>
      <c r="C63">
        <v>0.12</v>
      </c>
      <c r="D63">
        <v>31</v>
      </c>
      <c r="E63">
        <v>22.96</v>
      </c>
    </row>
    <row r="64" spans="1:5" x14ac:dyDescent="0.3">
      <c r="A64">
        <v>62</v>
      </c>
      <c r="B64">
        <v>193</v>
      </c>
      <c r="C64">
        <v>0.17</v>
      </c>
      <c r="D64">
        <v>40</v>
      </c>
      <c r="E64">
        <v>20.73</v>
      </c>
    </row>
    <row r="65" spans="1:5" x14ac:dyDescent="0.3">
      <c r="A65">
        <v>63</v>
      </c>
      <c r="B65">
        <v>200</v>
      </c>
      <c r="C65">
        <v>0.18</v>
      </c>
      <c r="D65">
        <v>53</v>
      </c>
      <c r="E65">
        <v>26.5</v>
      </c>
    </row>
    <row r="66" spans="1:5" x14ac:dyDescent="0.3">
      <c r="A66">
        <v>64</v>
      </c>
      <c r="B66">
        <v>75</v>
      </c>
      <c r="C66">
        <v>7.0000000000000007E-2</v>
      </c>
      <c r="D66">
        <v>28</v>
      </c>
      <c r="E66">
        <v>37.33</v>
      </c>
    </row>
    <row r="67" spans="1:5" x14ac:dyDescent="0.3">
      <c r="A67">
        <v>65</v>
      </c>
      <c r="B67">
        <v>97</v>
      </c>
      <c r="C67">
        <v>0.09</v>
      </c>
      <c r="D67">
        <v>29</v>
      </c>
      <c r="E67">
        <v>29.9</v>
      </c>
    </row>
    <row r="68" spans="1:5" x14ac:dyDescent="0.3">
      <c r="A68">
        <v>66</v>
      </c>
      <c r="B68">
        <v>162</v>
      </c>
      <c r="C68">
        <v>0.15</v>
      </c>
      <c r="D68">
        <v>48</v>
      </c>
      <c r="E68">
        <v>29.63</v>
      </c>
    </row>
    <row r="69" spans="1:5" x14ac:dyDescent="0.3">
      <c r="A69">
        <v>67</v>
      </c>
      <c r="B69">
        <v>63</v>
      </c>
      <c r="C69">
        <v>0.06</v>
      </c>
      <c r="D69">
        <v>19</v>
      </c>
      <c r="E69">
        <v>30.16</v>
      </c>
    </row>
    <row r="70" spans="1:5" x14ac:dyDescent="0.3">
      <c r="A70">
        <v>68</v>
      </c>
      <c r="B70">
        <v>70</v>
      </c>
      <c r="C70">
        <v>0.06</v>
      </c>
      <c r="D70">
        <v>23</v>
      </c>
      <c r="E70">
        <v>32.86</v>
      </c>
    </row>
    <row r="71" spans="1:5" x14ac:dyDescent="0.3">
      <c r="A71">
        <v>69</v>
      </c>
      <c r="B71">
        <v>105</v>
      </c>
      <c r="C71">
        <v>0.1</v>
      </c>
      <c r="D71">
        <v>34</v>
      </c>
      <c r="E71">
        <v>32.380000000000003</v>
      </c>
    </row>
    <row r="72" spans="1:5" x14ac:dyDescent="0.3">
      <c r="A72">
        <v>70</v>
      </c>
      <c r="B72">
        <v>112</v>
      </c>
      <c r="C72">
        <v>0.1</v>
      </c>
      <c r="D72">
        <v>35</v>
      </c>
      <c r="E72">
        <v>31.25</v>
      </c>
    </row>
    <row r="73" spans="1:5" x14ac:dyDescent="0.3">
      <c r="A73">
        <v>71</v>
      </c>
      <c r="B73">
        <v>50</v>
      </c>
      <c r="C73">
        <v>0.05</v>
      </c>
      <c r="D73">
        <v>11</v>
      </c>
      <c r="E73">
        <v>22</v>
      </c>
    </row>
    <row r="74" spans="1:5" x14ac:dyDescent="0.3">
      <c r="A74">
        <v>72</v>
      </c>
      <c r="B74">
        <v>53</v>
      </c>
      <c r="C74">
        <v>0.05</v>
      </c>
      <c r="D74">
        <v>16</v>
      </c>
      <c r="E74">
        <v>30.19</v>
      </c>
    </row>
    <row r="75" spans="1:5" x14ac:dyDescent="0.3">
      <c r="A75">
        <v>73</v>
      </c>
      <c r="B75">
        <v>37</v>
      </c>
      <c r="C75">
        <v>0.03</v>
      </c>
      <c r="D75">
        <v>13</v>
      </c>
      <c r="E75">
        <v>35.14</v>
      </c>
    </row>
    <row r="76" spans="1:5" x14ac:dyDescent="0.3">
      <c r="A76">
        <v>74</v>
      </c>
      <c r="B76">
        <v>39</v>
      </c>
      <c r="C76">
        <v>0.04</v>
      </c>
      <c r="D76">
        <v>13</v>
      </c>
      <c r="E76">
        <v>33.33</v>
      </c>
    </row>
    <row r="77" spans="1:5" x14ac:dyDescent="0.3">
      <c r="A77">
        <v>75</v>
      </c>
      <c r="B77">
        <v>72</v>
      </c>
      <c r="C77">
        <v>7.0000000000000007E-2</v>
      </c>
      <c r="D77">
        <v>22</v>
      </c>
      <c r="E77">
        <v>30.56</v>
      </c>
    </row>
    <row r="78" spans="1:5" x14ac:dyDescent="0.3">
      <c r="A78">
        <v>76</v>
      </c>
      <c r="B78">
        <v>65</v>
      </c>
      <c r="C78">
        <v>0.06</v>
      </c>
      <c r="D78">
        <v>20</v>
      </c>
      <c r="E78">
        <v>30.77</v>
      </c>
    </row>
    <row r="79" spans="1:5" x14ac:dyDescent="0.3">
      <c r="A79">
        <v>77</v>
      </c>
      <c r="B79">
        <v>53</v>
      </c>
      <c r="C79">
        <v>0.05</v>
      </c>
      <c r="D79">
        <v>18</v>
      </c>
      <c r="E79">
        <v>33.96</v>
      </c>
    </row>
    <row r="80" spans="1:5" x14ac:dyDescent="0.3">
      <c r="A80">
        <v>78</v>
      </c>
      <c r="B80">
        <v>33</v>
      </c>
      <c r="C80">
        <v>0.03</v>
      </c>
      <c r="D80">
        <v>13</v>
      </c>
      <c r="E80">
        <v>39.39</v>
      </c>
    </row>
    <row r="81" spans="1:5" x14ac:dyDescent="0.3">
      <c r="A81">
        <v>79</v>
      </c>
      <c r="B81">
        <v>23</v>
      </c>
      <c r="C81">
        <v>0.02</v>
      </c>
      <c r="D81">
        <v>9</v>
      </c>
      <c r="E81">
        <v>39.130000000000003</v>
      </c>
    </row>
    <row r="82" spans="1:5" x14ac:dyDescent="0.3">
      <c r="A82">
        <v>80</v>
      </c>
      <c r="B82">
        <v>18</v>
      </c>
      <c r="C82">
        <v>0.02</v>
      </c>
      <c r="D82">
        <v>8</v>
      </c>
      <c r="E82">
        <v>44.44</v>
      </c>
    </row>
    <row r="83" spans="1:5" x14ac:dyDescent="0.3">
      <c r="A83">
        <v>81</v>
      </c>
      <c r="B83">
        <v>10</v>
      </c>
      <c r="C83">
        <v>0.01</v>
      </c>
      <c r="D83">
        <v>4</v>
      </c>
      <c r="E83">
        <v>40</v>
      </c>
    </row>
    <row r="84" spans="1:5" x14ac:dyDescent="0.3">
      <c r="A84">
        <v>83</v>
      </c>
      <c r="B84">
        <v>8</v>
      </c>
      <c r="C84">
        <v>0.01</v>
      </c>
      <c r="D84">
        <v>1</v>
      </c>
      <c r="E84">
        <v>12.5</v>
      </c>
    </row>
    <row r="85" spans="1:5" x14ac:dyDescent="0.3">
      <c r="A85">
        <v>84</v>
      </c>
      <c r="B85">
        <v>54</v>
      </c>
      <c r="C85">
        <v>0.05</v>
      </c>
      <c r="D85">
        <v>12</v>
      </c>
      <c r="E85">
        <v>22.22</v>
      </c>
    </row>
    <row r="86" spans="1:5" x14ac:dyDescent="0.3">
      <c r="A86">
        <v>85</v>
      </c>
      <c r="B86">
        <v>37</v>
      </c>
      <c r="C86">
        <v>0.03</v>
      </c>
      <c r="D86">
        <v>8</v>
      </c>
      <c r="E86">
        <v>21.62</v>
      </c>
    </row>
    <row r="87" spans="1:5" x14ac:dyDescent="0.3">
      <c r="A87">
        <v>86</v>
      </c>
      <c r="B87">
        <v>6</v>
      </c>
      <c r="C87">
        <v>0.01</v>
      </c>
      <c r="D87">
        <v>1</v>
      </c>
      <c r="E87">
        <v>16.670000000000002</v>
      </c>
    </row>
    <row r="88" spans="1:5" x14ac:dyDescent="0.3">
      <c r="A88">
        <v>87</v>
      </c>
      <c r="B88">
        <v>16</v>
      </c>
      <c r="C88">
        <v>0.01</v>
      </c>
      <c r="D88">
        <v>5</v>
      </c>
      <c r="E88">
        <v>31.25</v>
      </c>
    </row>
    <row r="89" spans="1:5" x14ac:dyDescent="0.3">
      <c r="A89">
        <v>88</v>
      </c>
      <c r="B89">
        <v>16</v>
      </c>
      <c r="C89">
        <v>0.01</v>
      </c>
      <c r="D89">
        <v>5</v>
      </c>
      <c r="E89">
        <v>31.25</v>
      </c>
    </row>
    <row r="90" spans="1:5" x14ac:dyDescent="0.3">
      <c r="A90">
        <v>89</v>
      </c>
      <c r="B90">
        <v>17</v>
      </c>
      <c r="C90">
        <v>0.02</v>
      </c>
      <c r="D90">
        <v>7</v>
      </c>
      <c r="E90">
        <v>41.18</v>
      </c>
    </row>
    <row r="91" spans="1:5" x14ac:dyDescent="0.3">
      <c r="A91">
        <v>90</v>
      </c>
      <c r="B91">
        <v>58</v>
      </c>
      <c r="C91">
        <v>0.05</v>
      </c>
      <c r="D91">
        <v>14</v>
      </c>
      <c r="E91">
        <v>24.14</v>
      </c>
    </row>
    <row r="92" spans="1:5" x14ac:dyDescent="0.3">
      <c r="A92">
        <v>91</v>
      </c>
      <c r="B92">
        <v>56</v>
      </c>
      <c r="C92">
        <v>0.05</v>
      </c>
      <c r="D92">
        <v>12</v>
      </c>
      <c r="E92">
        <v>21.43</v>
      </c>
    </row>
    <row r="93" spans="1:5" x14ac:dyDescent="0.3">
      <c r="A93">
        <v>95</v>
      </c>
      <c r="B93">
        <v>5</v>
      </c>
      <c r="C93">
        <v>0</v>
      </c>
      <c r="D93">
        <v>1</v>
      </c>
      <c r="E93">
        <v>20</v>
      </c>
    </row>
    <row r="94" spans="1:5" x14ac:dyDescent="0.3">
      <c r="A94">
        <v>96</v>
      </c>
      <c r="B94">
        <v>4</v>
      </c>
      <c r="C94">
        <v>0</v>
      </c>
      <c r="D94">
        <v>1</v>
      </c>
      <c r="E94">
        <v>25</v>
      </c>
    </row>
    <row r="95" spans="1:5" x14ac:dyDescent="0.3">
      <c r="A95">
        <v>98</v>
      </c>
      <c r="B95">
        <v>5</v>
      </c>
      <c r="C95">
        <v>0</v>
      </c>
      <c r="D95">
        <v>1</v>
      </c>
      <c r="E95">
        <v>20</v>
      </c>
    </row>
    <row r="96" spans="1:5" x14ac:dyDescent="0.3">
      <c r="A96">
        <v>102</v>
      </c>
      <c r="B96">
        <v>4</v>
      </c>
      <c r="C96">
        <v>0</v>
      </c>
      <c r="D96">
        <v>1</v>
      </c>
      <c r="E96">
        <v>25</v>
      </c>
    </row>
    <row r="97" spans="1:5" x14ac:dyDescent="0.3">
      <c r="A97">
        <v>103</v>
      </c>
      <c r="B97">
        <v>5</v>
      </c>
      <c r="C97">
        <v>0</v>
      </c>
      <c r="D97">
        <v>3</v>
      </c>
      <c r="E97">
        <v>60</v>
      </c>
    </row>
    <row r="98" spans="1:5" x14ac:dyDescent="0.3">
      <c r="A98">
        <v>104</v>
      </c>
      <c r="B98">
        <v>8</v>
      </c>
      <c r="C98">
        <v>0.01</v>
      </c>
      <c r="D98">
        <v>6</v>
      </c>
      <c r="E98">
        <v>75</v>
      </c>
    </row>
    <row r="99" spans="1:5" x14ac:dyDescent="0.3">
      <c r="A99">
        <v>110</v>
      </c>
      <c r="B99">
        <v>2</v>
      </c>
      <c r="C99">
        <v>0</v>
      </c>
      <c r="D99">
        <v>1</v>
      </c>
      <c r="E99">
        <v>50</v>
      </c>
    </row>
    <row r="100" spans="1:5" x14ac:dyDescent="0.3">
      <c r="A100">
        <v>111</v>
      </c>
      <c r="B100">
        <v>5</v>
      </c>
      <c r="C100">
        <v>0</v>
      </c>
      <c r="D100">
        <v>1</v>
      </c>
      <c r="E100">
        <v>20</v>
      </c>
    </row>
    <row r="101" spans="1:5" x14ac:dyDescent="0.3">
      <c r="A101">
        <v>126</v>
      </c>
      <c r="B101">
        <v>1</v>
      </c>
      <c r="C101">
        <v>0</v>
      </c>
      <c r="D101">
        <v>1</v>
      </c>
      <c r="E101">
        <v>100</v>
      </c>
    </row>
    <row r="102" spans="1:5" x14ac:dyDescent="0.3">
      <c r="A102">
        <v>132</v>
      </c>
      <c r="B102">
        <v>1</v>
      </c>
      <c r="C102">
        <v>0</v>
      </c>
      <c r="D102">
        <v>1</v>
      </c>
      <c r="E102">
        <v>100</v>
      </c>
    </row>
    <row r="103" spans="1:5" x14ac:dyDescent="0.3">
      <c r="A103">
        <v>133</v>
      </c>
      <c r="B103">
        <v>11</v>
      </c>
      <c r="C103">
        <v>0.01</v>
      </c>
      <c r="D103">
        <v>4</v>
      </c>
      <c r="E103">
        <v>36.36</v>
      </c>
    </row>
    <row r="104" spans="1:5" x14ac:dyDescent="0.3">
      <c r="A104">
        <v>139</v>
      </c>
      <c r="B104">
        <v>1</v>
      </c>
      <c r="C104">
        <v>0</v>
      </c>
      <c r="D104">
        <v>1</v>
      </c>
      <c r="E104">
        <v>100</v>
      </c>
    </row>
    <row r="105" spans="1:5" x14ac:dyDescent="0.3">
      <c r="A105">
        <v>142</v>
      </c>
      <c r="B105">
        <v>8</v>
      </c>
      <c r="C105">
        <v>0.01</v>
      </c>
      <c r="D105">
        <v>3</v>
      </c>
      <c r="E105">
        <v>37.5</v>
      </c>
    </row>
    <row r="106" spans="1:5" x14ac:dyDescent="0.3">
      <c r="A106">
        <v>146</v>
      </c>
      <c r="B106">
        <v>1</v>
      </c>
      <c r="C106">
        <v>0</v>
      </c>
      <c r="D106">
        <v>1</v>
      </c>
      <c r="E106">
        <v>100</v>
      </c>
    </row>
    <row r="107" spans="1:5" x14ac:dyDescent="0.3">
      <c r="A107">
        <v>151</v>
      </c>
      <c r="B107">
        <v>1</v>
      </c>
      <c r="C107">
        <v>0</v>
      </c>
      <c r="D107">
        <v>1</v>
      </c>
      <c r="E107">
        <v>100</v>
      </c>
    </row>
    <row r="108" spans="1:5" x14ac:dyDescent="0.3">
      <c r="A108">
        <v>155</v>
      </c>
      <c r="B108">
        <v>10</v>
      </c>
      <c r="C108">
        <v>0.01</v>
      </c>
      <c r="D108">
        <v>6</v>
      </c>
      <c r="E108">
        <v>60</v>
      </c>
    </row>
    <row r="109" spans="1:5" x14ac:dyDescent="0.3">
      <c r="A109">
        <v>162</v>
      </c>
      <c r="B109">
        <v>11</v>
      </c>
      <c r="C109">
        <v>0.01</v>
      </c>
      <c r="D109">
        <v>2</v>
      </c>
      <c r="E109">
        <v>18.18</v>
      </c>
    </row>
    <row r="110" spans="1:5" x14ac:dyDescent="0.3">
      <c r="A110">
        <v>169</v>
      </c>
      <c r="B110">
        <v>8</v>
      </c>
      <c r="C110">
        <v>0.01</v>
      </c>
      <c r="D110">
        <v>1</v>
      </c>
      <c r="E110">
        <v>12.5</v>
      </c>
    </row>
    <row r="111" spans="1:5" x14ac:dyDescent="0.3">
      <c r="A111">
        <v>176</v>
      </c>
      <c r="B111">
        <v>16</v>
      </c>
      <c r="C111">
        <v>0.01</v>
      </c>
      <c r="D111">
        <v>6</v>
      </c>
      <c r="E111">
        <v>37.5</v>
      </c>
    </row>
    <row r="112" spans="1:5" x14ac:dyDescent="0.3">
      <c r="A112">
        <v>179</v>
      </c>
      <c r="B112">
        <v>10</v>
      </c>
      <c r="C112">
        <v>0.01</v>
      </c>
      <c r="D112">
        <v>2</v>
      </c>
      <c r="E11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DDF3-44EB-4355-94E6-7571A99841B0}">
  <dimension ref="A1:D5"/>
  <sheetViews>
    <sheetView workbookViewId="0">
      <selection activeCell="F15" sqref="F15"/>
    </sheetView>
  </sheetViews>
  <sheetFormatPr defaultRowHeight="14.4" x14ac:dyDescent="0.3"/>
  <sheetData>
    <row r="1" spans="1:4" x14ac:dyDescent="0.3">
      <c r="A1" t="s">
        <v>97</v>
      </c>
      <c r="B1" t="s">
        <v>1</v>
      </c>
      <c r="C1" t="s">
        <v>3</v>
      </c>
      <c r="D1" t="s">
        <v>4</v>
      </c>
    </row>
    <row r="2" spans="1:4" x14ac:dyDescent="0.3">
      <c r="A2" t="s">
        <v>96</v>
      </c>
      <c r="B2">
        <v>10378</v>
      </c>
      <c r="C2">
        <v>3425</v>
      </c>
      <c r="D2">
        <v>33</v>
      </c>
    </row>
    <row r="3" spans="1:4" x14ac:dyDescent="0.3">
      <c r="A3" t="s">
        <v>95</v>
      </c>
      <c r="B3">
        <v>38563</v>
      </c>
      <c r="C3">
        <v>1792</v>
      </c>
      <c r="D3">
        <v>4.6500000000000004</v>
      </c>
    </row>
    <row r="4" spans="1:4" x14ac:dyDescent="0.3">
      <c r="A4" t="s">
        <v>94</v>
      </c>
      <c r="B4">
        <v>29396</v>
      </c>
      <c r="C4">
        <v>9325</v>
      </c>
      <c r="D4">
        <v>31.72</v>
      </c>
    </row>
    <row r="5" spans="1:4" x14ac:dyDescent="0.3">
      <c r="A5" t="s">
        <v>93</v>
      </c>
      <c r="B5">
        <v>32185</v>
      </c>
      <c r="C5">
        <v>7772</v>
      </c>
      <c r="D5">
        <v>24.15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EA3B-AB2A-4F43-89A5-5FB54C6AABE4}">
  <dimension ref="A1:E2"/>
  <sheetViews>
    <sheetView workbookViewId="0">
      <selection activeCell="L19" sqref="L19"/>
    </sheetView>
  </sheetViews>
  <sheetFormatPr defaultRowHeight="14.4" x14ac:dyDescent="0.3"/>
  <cols>
    <col min="4" max="4" width="9.5546875" bestFit="1" customWidth="1"/>
  </cols>
  <sheetData>
    <row r="1" spans="1:5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</row>
    <row r="2" spans="1:5" x14ac:dyDescent="0.3">
      <c r="A2">
        <v>110522</v>
      </c>
      <c r="B2">
        <v>22314</v>
      </c>
      <c r="C2">
        <f>A2-B2</f>
        <v>88208</v>
      </c>
      <c r="D2" s="1">
        <f>(B2/A2) * 100</f>
        <v>20.189645500443351</v>
      </c>
      <c r="E2" s="1">
        <f>100-D2</f>
        <v>79.810354499556652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4B50-C95F-4D43-BD8B-08AA3BD38051}">
  <dimension ref="A1:E3"/>
  <sheetViews>
    <sheetView workbookViewId="0">
      <selection activeCell="G7" sqref="G7"/>
    </sheetView>
  </sheetViews>
  <sheetFormatPr defaultRowHeight="14.4" x14ac:dyDescent="0.3"/>
  <cols>
    <col min="1" max="1" width="9.77734375" bestFit="1" customWidth="1"/>
    <col min="2" max="2" width="12.21875" bestFit="1" customWidth="1"/>
    <col min="3" max="3" width="17.88671875" bestFit="1" customWidth="1"/>
    <col min="4" max="4" width="14.21875" bestFit="1" customWidth="1"/>
    <col min="5" max="5" width="15.33203125" bestFit="1" customWidth="1"/>
  </cols>
  <sheetData>
    <row r="1" spans="1:5" x14ac:dyDescent="0.3">
      <c r="A1" t="s">
        <v>10</v>
      </c>
      <c r="B1" t="s">
        <v>1</v>
      </c>
      <c r="C1" t="s">
        <v>9</v>
      </c>
      <c r="D1" t="s">
        <v>3</v>
      </c>
      <c r="E1" t="s">
        <v>4</v>
      </c>
    </row>
    <row r="2" spans="1:5" x14ac:dyDescent="0.3">
      <c r="A2">
        <v>0</v>
      </c>
      <c r="B2">
        <v>107162</v>
      </c>
      <c r="C2">
        <v>96.96</v>
      </c>
      <c r="D2">
        <v>21637</v>
      </c>
      <c r="E2">
        <v>20.190000000000001</v>
      </c>
    </row>
    <row r="3" spans="1:5" x14ac:dyDescent="0.3">
      <c r="A3">
        <v>1</v>
      </c>
      <c r="B3">
        <v>3360</v>
      </c>
      <c r="C3">
        <v>3.04</v>
      </c>
      <c r="D3">
        <v>677</v>
      </c>
      <c r="E3">
        <v>20.149999999999999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131D-B12D-4E03-9D1C-FB21BEE070BB}">
  <dimension ref="A1:E7"/>
  <sheetViews>
    <sheetView workbookViewId="0">
      <selection sqref="A1:E7"/>
    </sheetView>
  </sheetViews>
  <sheetFormatPr defaultRowHeight="14.4" x14ac:dyDescent="0.3"/>
  <sheetData>
    <row r="1" spans="1:5" x14ac:dyDescent="0.3">
      <c r="A1" t="s">
        <v>18</v>
      </c>
      <c r="B1" t="s">
        <v>1</v>
      </c>
      <c r="C1" t="s">
        <v>17</v>
      </c>
      <c r="D1" t="s">
        <v>3</v>
      </c>
      <c r="E1" t="s">
        <v>4</v>
      </c>
    </row>
    <row r="2" spans="1:5" x14ac:dyDescent="0.3">
      <c r="A2" t="s">
        <v>16</v>
      </c>
      <c r="B2">
        <v>19019</v>
      </c>
      <c r="C2">
        <v>17.21</v>
      </c>
      <c r="D2">
        <v>4037</v>
      </c>
      <c r="E2">
        <v>21.23</v>
      </c>
    </row>
    <row r="3" spans="1:5" x14ac:dyDescent="0.3">
      <c r="A3" t="s">
        <v>15</v>
      </c>
      <c r="B3">
        <v>22714</v>
      </c>
      <c r="C3">
        <v>20.55</v>
      </c>
      <c r="D3">
        <v>4689</v>
      </c>
      <c r="E3">
        <v>20.64</v>
      </c>
    </row>
    <row r="4" spans="1:5" x14ac:dyDescent="0.3">
      <c r="A4" t="s">
        <v>14</v>
      </c>
      <c r="B4">
        <v>39</v>
      </c>
      <c r="C4">
        <v>0.04</v>
      </c>
      <c r="D4">
        <v>9</v>
      </c>
      <c r="E4">
        <v>23.08</v>
      </c>
    </row>
    <row r="5" spans="1:5" x14ac:dyDescent="0.3">
      <c r="A5" t="s">
        <v>13</v>
      </c>
      <c r="B5">
        <v>17246</v>
      </c>
      <c r="C5">
        <v>15.6</v>
      </c>
      <c r="D5">
        <v>3337</v>
      </c>
      <c r="E5">
        <v>19.350000000000001</v>
      </c>
    </row>
    <row r="6" spans="1:5" x14ac:dyDescent="0.3">
      <c r="A6" t="s">
        <v>12</v>
      </c>
      <c r="B6">
        <v>25638</v>
      </c>
      <c r="C6">
        <v>23.2</v>
      </c>
      <c r="D6">
        <v>5150</v>
      </c>
      <c r="E6">
        <v>20.09</v>
      </c>
    </row>
    <row r="7" spans="1:5" x14ac:dyDescent="0.3">
      <c r="A7" t="s">
        <v>11</v>
      </c>
      <c r="B7">
        <v>25866</v>
      </c>
      <c r="C7">
        <v>23.4</v>
      </c>
      <c r="D7">
        <v>5092</v>
      </c>
      <c r="E7">
        <v>19.690000000000001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4FC0-893C-448A-8959-4148719356E7}">
  <dimension ref="A1:E4"/>
  <sheetViews>
    <sheetView workbookViewId="0">
      <selection sqref="A1:E4"/>
    </sheetView>
  </sheetViews>
  <sheetFormatPr defaultRowHeight="14.4" x14ac:dyDescent="0.3"/>
  <sheetData>
    <row r="1" spans="1:5" x14ac:dyDescent="0.3">
      <c r="A1" t="s">
        <v>23</v>
      </c>
      <c r="B1" t="s">
        <v>1</v>
      </c>
      <c r="C1" t="s">
        <v>22</v>
      </c>
      <c r="D1" t="s">
        <v>3</v>
      </c>
      <c r="E1" t="s">
        <v>4</v>
      </c>
    </row>
    <row r="2" spans="1:5" x14ac:dyDescent="0.3">
      <c r="A2" t="s">
        <v>21</v>
      </c>
      <c r="B2">
        <v>3235</v>
      </c>
      <c r="C2">
        <v>2.93</v>
      </c>
      <c r="D2">
        <v>633</v>
      </c>
      <c r="E2">
        <v>19.57</v>
      </c>
    </row>
    <row r="3" spans="1:5" x14ac:dyDescent="0.3">
      <c r="A3" t="s">
        <v>20</v>
      </c>
      <c r="B3">
        <v>26451</v>
      </c>
      <c r="C3">
        <v>23.93</v>
      </c>
      <c r="D3">
        <v>4882</v>
      </c>
      <c r="E3">
        <v>18.46</v>
      </c>
    </row>
    <row r="4" spans="1:5" x14ac:dyDescent="0.3">
      <c r="A4" t="s">
        <v>19</v>
      </c>
      <c r="B4">
        <v>80836</v>
      </c>
      <c r="C4">
        <v>73.14</v>
      </c>
      <c r="D4">
        <v>16799</v>
      </c>
      <c r="E4">
        <v>20.78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1C96-EAA2-4433-929C-9E1EE8E0CAFA}">
  <dimension ref="A1:E3"/>
  <sheetViews>
    <sheetView workbookViewId="0">
      <selection sqref="A1:E3"/>
    </sheetView>
  </sheetViews>
  <sheetFormatPr defaultRowHeight="14.4" x14ac:dyDescent="0.3"/>
  <sheetData>
    <row r="1" spans="1:5" x14ac:dyDescent="0.3">
      <c r="A1" t="s">
        <v>25</v>
      </c>
      <c r="B1" t="s">
        <v>1</v>
      </c>
      <c r="C1" t="s">
        <v>24</v>
      </c>
      <c r="D1" t="s">
        <v>3</v>
      </c>
      <c r="E1" t="s">
        <v>4</v>
      </c>
    </row>
    <row r="2" spans="1:5" x14ac:dyDescent="0.3">
      <c r="A2">
        <v>0</v>
      </c>
      <c r="B2">
        <v>102579</v>
      </c>
      <c r="C2">
        <v>92.81</v>
      </c>
      <c r="D2">
        <v>20884</v>
      </c>
      <c r="E2">
        <v>20.36</v>
      </c>
    </row>
    <row r="3" spans="1:5" x14ac:dyDescent="0.3">
      <c r="A3">
        <v>1</v>
      </c>
      <c r="B3">
        <v>7943</v>
      </c>
      <c r="C3">
        <v>7.19</v>
      </c>
      <c r="D3">
        <v>1430</v>
      </c>
      <c r="E3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5AA6-284C-4731-AE0A-5AF6ADEBF9F7}">
  <dimension ref="A1:E3"/>
  <sheetViews>
    <sheetView workbookViewId="0">
      <selection sqref="A1:E3"/>
    </sheetView>
  </sheetViews>
  <sheetFormatPr defaultRowHeight="14.4" x14ac:dyDescent="0.3"/>
  <sheetData>
    <row r="1" spans="1:5" x14ac:dyDescent="0.3">
      <c r="A1" t="s">
        <v>29</v>
      </c>
      <c r="B1" t="s">
        <v>1</v>
      </c>
      <c r="C1" t="s">
        <v>28</v>
      </c>
      <c r="D1" t="s">
        <v>3</v>
      </c>
      <c r="E1" t="s">
        <v>4</v>
      </c>
    </row>
    <row r="2" spans="1:5" x14ac:dyDescent="0.3">
      <c r="A2" t="s">
        <v>27</v>
      </c>
      <c r="B2">
        <v>71837</v>
      </c>
      <c r="C2">
        <v>65</v>
      </c>
      <c r="D2">
        <v>14591</v>
      </c>
      <c r="E2">
        <v>20.309999999999999</v>
      </c>
    </row>
    <row r="3" spans="1:5" x14ac:dyDescent="0.3">
      <c r="A3" t="s">
        <v>26</v>
      </c>
      <c r="B3">
        <v>38685</v>
      </c>
      <c r="C3">
        <v>35</v>
      </c>
      <c r="D3">
        <v>7723</v>
      </c>
      <c r="E3">
        <v>19.96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42B2-80F3-445A-969D-4F34571EA343}">
  <dimension ref="A1:E3"/>
  <sheetViews>
    <sheetView workbookViewId="0">
      <selection sqref="A1:E3"/>
    </sheetView>
  </sheetViews>
  <sheetFormatPr defaultRowHeight="14.4" x14ac:dyDescent="0.3"/>
  <sheetData>
    <row r="1" spans="1:5" x14ac:dyDescent="0.3">
      <c r="A1" t="s">
        <v>31</v>
      </c>
      <c r="B1" t="s">
        <v>1</v>
      </c>
      <c r="C1" t="s">
        <v>30</v>
      </c>
      <c r="D1" t="s">
        <v>3</v>
      </c>
      <c r="E1" t="s">
        <v>4</v>
      </c>
    </row>
    <row r="2" spans="1:5" x14ac:dyDescent="0.3">
      <c r="A2">
        <v>0</v>
      </c>
      <c r="B2">
        <v>108283</v>
      </c>
      <c r="C2">
        <v>97.97</v>
      </c>
      <c r="D2">
        <v>21909</v>
      </c>
      <c r="E2">
        <v>20.23</v>
      </c>
    </row>
    <row r="3" spans="1:5" x14ac:dyDescent="0.3">
      <c r="A3">
        <v>1</v>
      </c>
      <c r="B3">
        <v>2239</v>
      </c>
      <c r="C3">
        <v>2.0299999999999998</v>
      </c>
      <c r="D3">
        <v>405</v>
      </c>
      <c r="E3">
        <v>18.09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A31F-DCF1-4B4C-96B3-14CAE3D4DA1C}">
  <dimension ref="A1:E3"/>
  <sheetViews>
    <sheetView workbookViewId="0">
      <selection sqref="A1:E3"/>
    </sheetView>
  </sheetViews>
  <sheetFormatPr defaultRowHeight="14.4" x14ac:dyDescent="0.3"/>
  <sheetData>
    <row r="1" spans="1:5" x14ac:dyDescent="0.3">
      <c r="A1" t="s">
        <v>33</v>
      </c>
      <c r="B1" t="s">
        <v>1</v>
      </c>
      <c r="C1" t="s">
        <v>32</v>
      </c>
      <c r="D1" t="s">
        <v>3</v>
      </c>
      <c r="E1" t="s">
        <v>4</v>
      </c>
    </row>
    <row r="2" spans="1:5" x14ac:dyDescent="0.3">
      <c r="A2">
        <v>0</v>
      </c>
      <c r="B2">
        <v>88721</v>
      </c>
      <c r="C2">
        <v>80.27</v>
      </c>
      <c r="D2">
        <v>18542</v>
      </c>
      <c r="E2">
        <v>20.9</v>
      </c>
    </row>
    <row r="3" spans="1:5" x14ac:dyDescent="0.3">
      <c r="A3">
        <v>1</v>
      </c>
      <c r="B3">
        <v>21801</v>
      </c>
      <c r="C3">
        <v>19.73</v>
      </c>
      <c r="D3">
        <v>3772</v>
      </c>
      <c r="E3">
        <v>17.3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BCCD-0DDA-43F4-B0B6-EAA4112EED9C}">
  <dimension ref="A1:E81"/>
  <sheetViews>
    <sheetView tabSelected="1" workbookViewId="0">
      <selection activeCell="H15" sqref="H15"/>
    </sheetView>
  </sheetViews>
  <sheetFormatPr defaultRowHeight="14.4" x14ac:dyDescent="0.3"/>
  <cols>
    <col min="1" max="1" width="27.77734375" bestFit="1" customWidth="1"/>
  </cols>
  <sheetData>
    <row r="1" spans="1:5" x14ac:dyDescent="0.3">
      <c r="A1" t="s">
        <v>86</v>
      </c>
      <c r="B1" t="s">
        <v>1</v>
      </c>
      <c r="C1" t="s">
        <v>85</v>
      </c>
      <c r="D1" t="s">
        <v>3</v>
      </c>
      <c r="E1" t="s">
        <v>4</v>
      </c>
    </row>
    <row r="2" spans="1:5" x14ac:dyDescent="0.3">
      <c r="A2" t="s">
        <v>84</v>
      </c>
      <c r="B2">
        <v>8</v>
      </c>
      <c r="C2">
        <v>0.01</v>
      </c>
      <c r="D2">
        <v>1</v>
      </c>
      <c r="E2">
        <v>12.5</v>
      </c>
    </row>
    <row r="3" spans="1:5" x14ac:dyDescent="0.3">
      <c r="A3" t="s">
        <v>83</v>
      </c>
      <c r="B3">
        <v>2262</v>
      </c>
      <c r="C3">
        <v>2.0499999999999998</v>
      </c>
      <c r="D3">
        <v>521</v>
      </c>
      <c r="E3">
        <v>23.03</v>
      </c>
    </row>
    <row r="4" spans="1:5" x14ac:dyDescent="0.3">
      <c r="A4" t="s">
        <v>134</v>
      </c>
      <c r="B4">
        <v>271</v>
      </c>
      <c r="C4">
        <v>0.25</v>
      </c>
      <c r="D4">
        <v>50</v>
      </c>
      <c r="E4">
        <v>18.45</v>
      </c>
    </row>
    <row r="5" spans="1:5" x14ac:dyDescent="0.3">
      <c r="A5" t="s">
        <v>82</v>
      </c>
      <c r="B5">
        <v>282</v>
      </c>
      <c r="C5">
        <v>0.26</v>
      </c>
      <c r="D5">
        <v>62</v>
      </c>
      <c r="E5">
        <v>21.99</v>
      </c>
    </row>
    <row r="6" spans="1:5" x14ac:dyDescent="0.3">
      <c r="A6" t="s">
        <v>81</v>
      </c>
      <c r="B6">
        <v>423</v>
      </c>
      <c r="C6">
        <v>0.38</v>
      </c>
      <c r="D6">
        <v>91</v>
      </c>
      <c r="E6">
        <v>21.51</v>
      </c>
    </row>
    <row r="7" spans="1:5" x14ac:dyDescent="0.3">
      <c r="A7" t="s">
        <v>80</v>
      </c>
      <c r="B7">
        <v>1907</v>
      </c>
      <c r="C7">
        <v>1.73</v>
      </c>
      <c r="D7">
        <v>384</v>
      </c>
      <c r="E7">
        <v>20.14</v>
      </c>
    </row>
    <row r="8" spans="1:5" x14ac:dyDescent="0.3">
      <c r="A8" t="s">
        <v>79</v>
      </c>
      <c r="B8">
        <v>858</v>
      </c>
      <c r="C8">
        <v>0.78</v>
      </c>
      <c r="D8">
        <v>193</v>
      </c>
      <c r="E8">
        <v>22.49</v>
      </c>
    </row>
    <row r="9" spans="1:5" x14ac:dyDescent="0.3">
      <c r="A9" t="s">
        <v>78</v>
      </c>
      <c r="B9">
        <v>312</v>
      </c>
      <c r="C9">
        <v>0.28000000000000003</v>
      </c>
      <c r="D9">
        <v>58</v>
      </c>
      <c r="E9">
        <v>18.59</v>
      </c>
    </row>
    <row r="10" spans="1:5" x14ac:dyDescent="0.3">
      <c r="A10" t="s">
        <v>77</v>
      </c>
      <c r="B10">
        <v>2773</v>
      </c>
      <c r="C10">
        <v>2.5099999999999998</v>
      </c>
      <c r="D10">
        <v>550</v>
      </c>
      <c r="E10">
        <v>19.829999999999998</v>
      </c>
    </row>
    <row r="11" spans="1:5" x14ac:dyDescent="0.3">
      <c r="A11" t="s">
        <v>133</v>
      </c>
      <c r="B11">
        <v>2565</v>
      </c>
      <c r="C11">
        <v>2.3199999999999998</v>
      </c>
      <c r="D11">
        <v>591</v>
      </c>
      <c r="E11">
        <v>23.04</v>
      </c>
    </row>
    <row r="12" spans="1:5" x14ac:dyDescent="0.3">
      <c r="A12" t="s">
        <v>76</v>
      </c>
      <c r="B12">
        <v>3334</v>
      </c>
      <c r="C12">
        <v>3.02</v>
      </c>
      <c r="D12">
        <v>703</v>
      </c>
      <c r="E12">
        <v>21.09</v>
      </c>
    </row>
    <row r="13" spans="1:5" x14ac:dyDescent="0.3">
      <c r="A13" t="s">
        <v>75</v>
      </c>
      <c r="B13">
        <v>310</v>
      </c>
      <c r="C13">
        <v>0.28000000000000003</v>
      </c>
      <c r="D13">
        <v>56</v>
      </c>
      <c r="E13">
        <v>18.059999999999999</v>
      </c>
    </row>
    <row r="14" spans="1:5" x14ac:dyDescent="0.3">
      <c r="A14" t="s">
        <v>74</v>
      </c>
      <c r="B14">
        <v>849</v>
      </c>
      <c r="C14">
        <v>0.77</v>
      </c>
      <c r="D14">
        <v>160</v>
      </c>
      <c r="E14">
        <v>18.850000000000001</v>
      </c>
    </row>
    <row r="15" spans="1:5" x14ac:dyDescent="0.3">
      <c r="A15" t="s">
        <v>132</v>
      </c>
      <c r="B15">
        <v>1375</v>
      </c>
      <c r="C15">
        <v>1.24</v>
      </c>
      <c r="D15">
        <v>236</v>
      </c>
      <c r="E15">
        <v>17.16</v>
      </c>
    </row>
    <row r="16" spans="1:5" x14ac:dyDescent="0.3">
      <c r="A16" t="s">
        <v>73</v>
      </c>
      <c r="B16">
        <v>1398</v>
      </c>
      <c r="C16">
        <v>1.26</v>
      </c>
      <c r="D16">
        <v>304</v>
      </c>
      <c r="E16">
        <v>21.75</v>
      </c>
    </row>
    <row r="17" spans="1:5" x14ac:dyDescent="0.3">
      <c r="A17" t="s">
        <v>72</v>
      </c>
      <c r="B17">
        <v>2217</v>
      </c>
      <c r="C17">
        <v>2.0099999999999998</v>
      </c>
      <c r="D17">
        <v>429</v>
      </c>
      <c r="E17">
        <v>19.350000000000001</v>
      </c>
    </row>
    <row r="18" spans="1:5" x14ac:dyDescent="0.3">
      <c r="A18" t="s">
        <v>71</v>
      </c>
      <c r="B18">
        <v>305</v>
      </c>
      <c r="C18">
        <v>0.28000000000000003</v>
      </c>
      <c r="D18">
        <v>47</v>
      </c>
      <c r="E18">
        <v>15.41</v>
      </c>
    </row>
    <row r="19" spans="1:5" x14ac:dyDescent="0.3">
      <c r="A19" t="s">
        <v>70</v>
      </c>
      <c r="B19">
        <v>560</v>
      </c>
      <c r="C19">
        <v>0.51</v>
      </c>
      <c r="D19">
        <v>88</v>
      </c>
      <c r="E19">
        <v>15.71</v>
      </c>
    </row>
    <row r="20" spans="1:5" x14ac:dyDescent="0.3">
      <c r="A20" t="s">
        <v>69</v>
      </c>
      <c r="B20">
        <v>413</v>
      </c>
      <c r="C20">
        <v>0.37</v>
      </c>
      <c r="D20">
        <v>92</v>
      </c>
      <c r="E20">
        <v>22.28</v>
      </c>
    </row>
    <row r="21" spans="1:5" x14ac:dyDescent="0.3">
      <c r="A21" t="s">
        <v>68</v>
      </c>
      <c r="B21">
        <v>849</v>
      </c>
      <c r="C21">
        <v>0.77</v>
      </c>
      <c r="D21">
        <v>140</v>
      </c>
      <c r="E21">
        <v>16.489999999999998</v>
      </c>
    </row>
    <row r="22" spans="1:5" x14ac:dyDescent="0.3">
      <c r="A22" t="s">
        <v>131</v>
      </c>
      <c r="B22">
        <v>235</v>
      </c>
      <c r="C22">
        <v>0.21</v>
      </c>
      <c r="D22">
        <v>52</v>
      </c>
      <c r="E22">
        <v>22.13</v>
      </c>
    </row>
    <row r="23" spans="1:5" x14ac:dyDescent="0.3">
      <c r="A23" t="s">
        <v>67</v>
      </c>
      <c r="B23">
        <v>538</v>
      </c>
      <c r="C23">
        <v>0.49</v>
      </c>
      <c r="D23">
        <v>106</v>
      </c>
      <c r="E23">
        <v>19.7</v>
      </c>
    </row>
    <row r="24" spans="1:5" x14ac:dyDescent="0.3">
      <c r="A24" t="s">
        <v>66</v>
      </c>
      <c r="B24">
        <v>682</v>
      </c>
      <c r="C24">
        <v>0.62</v>
      </c>
      <c r="D24">
        <v>149</v>
      </c>
      <c r="E24">
        <v>21.85</v>
      </c>
    </row>
    <row r="25" spans="1:5" x14ac:dyDescent="0.3">
      <c r="A25" t="s">
        <v>130</v>
      </c>
      <c r="B25">
        <v>1889</v>
      </c>
      <c r="C25">
        <v>1.71</v>
      </c>
      <c r="D25">
        <v>346</v>
      </c>
      <c r="E25">
        <v>18.32</v>
      </c>
    </row>
    <row r="26" spans="1:5" x14ac:dyDescent="0.3">
      <c r="A26" t="s">
        <v>65</v>
      </c>
      <c r="B26">
        <v>258</v>
      </c>
      <c r="C26">
        <v>0.23</v>
      </c>
      <c r="D26">
        <v>48</v>
      </c>
      <c r="E26">
        <v>18.600000000000001</v>
      </c>
    </row>
    <row r="27" spans="1:5" x14ac:dyDescent="0.3">
      <c r="A27" t="s">
        <v>64</v>
      </c>
      <c r="B27">
        <v>700</v>
      </c>
      <c r="C27">
        <v>0.63</v>
      </c>
      <c r="D27">
        <v>137</v>
      </c>
      <c r="E27">
        <v>19.57</v>
      </c>
    </row>
    <row r="28" spans="1:5" x14ac:dyDescent="0.3">
      <c r="A28" t="s">
        <v>129</v>
      </c>
      <c r="B28">
        <v>1071</v>
      </c>
      <c r="C28">
        <v>0.97</v>
      </c>
      <c r="D28">
        <v>217</v>
      </c>
      <c r="E28">
        <v>20.260000000000002</v>
      </c>
    </row>
    <row r="29" spans="1:5" x14ac:dyDescent="0.3">
      <c r="A29" t="s">
        <v>63</v>
      </c>
      <c r="B29">
        <v>2018</v>
      </c>
      <c r="C29">
        <v>1.83</v>
      </c>
      <c r="D29">
        <v>456</v>
      </c>
      <c r="E29">
        <v>22.6</v>
      </c>
    </row>
    <row r="30" spans="1:5" x14ac:dyDescent="0.3">
      <c r="A30" t="s">
        <v>62</v>
      </c>
      <c r="B30">
        <v>175</v>
      </c>
      <c r="C30">
        <v>0.16</v>
      </c>
      <c r="D30">
        <v>42</v>
      </c>
      <c r="E30">
        <v>24</v>
      </c>
    </row>
    <row r="31" spans="1:5" x14ac:dyDescent="0.3">
      <c r="A31" t="s">
        <v>61</v>
      </c>
      <c r="B31">
        <v>1071</v>
      </c>
      <c r="C31">
        <v>0.97</v>
      </c>
      <c r="D31">
        <v>235</v>
      </c>
      <c r="E31">
        <v>21.94</v>
      </c>
    </row>
    <row r="32" spans="1:5" x14ac:dyDescent="0.3">
      <c r="A32" t="s">
        <v>60</v>
      </c>
      <c r="B32">
        <v>1885</v>
      </c>
      <c r="C32">
        <v>1.71</v>
      </c>
      <c r="D32">
        <v>361</v>
      </c>
      <c r="E32">
        <v>19.149999999999999</v>
      </c>
    </row>
    <row r="33" spans="1:5" x14ac:dyDescent="0.3">
      <c r="A33" t="s">
        <v>59</v>
      </c>
      <c r="B33">
        <v>35</v>
      </c>
      <c r="C33">
        <v>0.03</v>
      </c>
      <c r="D33">
        <v>3</v>
      </c>
      <c r="E33">
        <v>8.57</v>
      </c>
    </row>
    <row r="34" spans="1:5" x14ac:dyDescent="0.3">
      <c r="A34" t="s">
        <v>58</v>
      </c>
      <c r="B34">
        <v>10</v>
      </c>
      <c r="C34">
        <v>0.01</v>
      </c>
      <c r="D34">
        <v>2</v>
      </c>
      <c r="E34">
        <v>20</v>
      </c>
    </row>
    <row r="35" spans="1:5" x14ac:dyDescent="0.3">
      <c r="A35" t="s">
        <v>128</v>
      </c>
      <c r="B35">
        <v>2266</v>
      </c>
      <c r="C35">
        <v>2.0499999999999998</v>
      </c>
      <c r="D35">
        <v>532</v>
      </c>
      <c r="E35">
        <v>23.48</v>
      </c>
    </row>
    <row r="36" spans="1:5" x14ac:dyDescent="0.3">
      <c r="A36" t="s">
        <v>127</v>
      </c>
      <c r="B36">
        <v>2</v>
      </c>
      <c r="C36">
        <v>0</v>
      </c>
      <c r="D36">
        <v>2</v>
      </c>
      <c r="E36">
        <v>100</v>
      </c>
    </row>
    <row r="37" spans="1:5" x14ac:dyDescent="0.3">
      <c r="A37" t="s">
        <v>126</v>
      </c>
      <c r="B37">
        <v>1057</v>
      </c>
      <c r="C37">
        <v>0.96</v>
      </c>
      <c r="D37">
        <v>202</v>
      </c>
      <c r="E37">
        <v>19.11</v>
      </c>
    </row>
    <row r="38" spans="1:5" x14ac:dyDescent="0.3">
      <c r="A38" t="s">
        <v>125</v>
      </c>
      <c r="B38">
        <v>3514</v>
      </c>
      <c r="C38">
        <v>3.18</v>
      </c>
      <c r="D38">
        <v>923</v>
      </c>
      <c r="E38">
        <v>26.27</v>
      </c>
    </row>
    <row r="39" spans="1:5" x14ac:dyDescent="0.3">
      <c r="A39" t="s">
        <v>57</v>
      </c>
      <c r="B39">
        <v>2509</v>
      </c>
      <c r="C39">
        <v>2.27</v>
      </c>
      <c r="D39">
        <v>451</v>
      </c>
      <c r="E39">
        <v>17.98</v>
      </c>
    </row>
    <row r="40" spans="1:5" x14ac:dyDescent="0.3">
      <c r="A40" t="s">
        <v>56</v>
      </c>
      <c r="B40">
        <v>7717</v>
      </c>
      <c r="C40">
        <v>6.98</v>
      </c>
      <c r="D40">
        <v>1465</v>
      </c>
      <c r="E40">
        <v>18.98</v>
      </c>
    </row>
    <row r="41" spans="1:5" x14ac:dyDescent="0.3">
      <c r="A41" t="s">
        <v>55</v>
      </c>
      <c r="B41">
        <v>3877</v>
      </c>
      <c r="C41">
        <v>3.51</v>
      </c>
      <c r="D41">
        <v>631</v>
      </c>
      <c r="E41">
        <v>16.28</v>
      </c>
    </row>
    <row r="42" spans="1:5" x14ac:dyDescent="0.3">
      <c r="A42" t="s">
        <v>54</v>
      </c>
      <c r="B42">
        <v>2853</v>
      </c>
      <c r="C42">
        <v>2.58</v>
      </c>
      <c r="D42">
        <v>696</v>
      </c>
      <c r="E42">
        <v>24.4</v>
      </c>
    </row>
    <row r="43" spans="1:5" x14ac:dyDescent="0.3">
      <c r="A43" t="s">
        <v>124</v>
      </c>
      <c r="B43">
        <v>1427</v>
      </c>
      <c r="C43">
        <v>1.29</v>
      </c>
      <c r="D43">
        <v>258</v>
      </c>
      <c r="E43">
        <v>18.079999999999998</v>
      </c>
    </row>
    <row r="44" spans="1:5" x14ac:dyDescent="0.3">
      <c r="A44" t="s">
        <v>53</v>
      </c>
      <c r="B44">
        <v>694</v>
      </c>
      <c r="C44">
        <v>0.63</v>
      </c>
      <c r="D44">
        <v>133</v>
      </c>
      <c r="E44">
        <v>19.16</v>
      </c>
    </row>
    <row r="45" spans="1:5" x14ac:dyDescent="0.3">
      <c r="A45" t="s">
        <v>52</v>
      </c>
      <c r="B45">
        <v>5805</v>
      </c>
      <c r="C45">
        <v>5.25</v>
      </c>
      <c r="D45">
        <v>1219</v>
      </c>
      <c r="E45">
        <v>21</v>
      </c>
    </row>
    <row r="46" spans="1:5" x14ac:dyDescent="0.3">
      <c r="A46" t="s">
        <v>123</v>
      </c>
      <c r="B46">
        <v>1902</v>
      </c>
      <c r="C46">
        <v>1.72</v>
      </c>
      <c r="D46">
        <v>424</v>
      </c>
      <c r="E46">
        <v>22.29</v>
      </c>
    </row>
    <row r="47" spans="1:5" x14ac:dyDescent="0.3">
      <c r="A47" t="s">
        <v>51</v>
      </c>
      <c r="B47">
        <v>644</v>
      </c>
      <c r="C47">
        <v>0.57999999999999996</v>
      </c>
      <c r="D47">
        <v>110</v>
      </c>
      <c r="E47">
        <v>17.079999999999998</v>
      </c>
    </row>
    <row r="48" spans="1:5" x14ac:dyDescent="0.3">
      <c r="A48" t="s">
        <v>50</v>
      </c>
      <c r="B48">
        <v>824</v>
      </c>
      <c r="C48">
        <v>0.75</v>
      </c>
      <c r="D48">
        <v>166</v>
      </c>
      <c r="E48">
        <v>20.149999999999999</v>
      </c>
    </row>
    <row r="49" spans="1:5" x14ac:dyDescent="0.3">
      <c r="A49" t="s">
        <v>49</v>
      </c>
      <c r="B49">
        <v>96</v>
      </c>
      <c r="C49">
        <v>0.09</v>
      </c>
      <c r="D49">
        <v>16</v>
      </c>
      <c r="E49">
        <v>16.670000000000002</v>
      </c>
    </row>
    <row r="50" spans="1:5" x14ac:dyDescent="0.3">
      <c r="A50" t="s">
        <v>122</v>
      </c>
      <c r="B50">
        <v>371</v>
      </c>
      <c r="C50">
        <v>0.34</v>
      </c>
      <c r="D50">
        <v>54</v>
      </c>
      <c r="E50">
        <v>14.56</v>
      </c>
    </row>
    <row r="51" spans="1:5" x14ac:dyDescent="0.3">
      <c r="A51" t="s">
        <v>48</v>
      </c>
      <c r="B51">
        <v>135</v>
      </c>
      <c r="C51">
        <v>0.12</v>
      </c>
      <c r="D51">
        <v>29</v>
      </c>
      <c r="E51">
        <v>21.48</v>
      </c>
    </row>
    <row r="52" spans="1:5" x14ac:dyDescent="0.3">
      <c r="A52" t="s">
        <v>47</v>
      </c>
      <c r="B52">
        <v>2264</v>
      </c>
      <c r="C52">
        <v>2.0499999999999998</v>
      </c>
      <c r="D52">
        <v>402</v>
      </c>
      <c r="E52">
        <v>17.760000000000002</v>
      </c>
    </row>
    <row r="53" spans="1:5" x14ac:dyDescent="0.3">
      <c r="A53" t="s">
        <v>46</v>
      </c>
      <c r="B53">
        <v>802</v>
      </c>
      <c r="C53">
        <v>0.73</v>
      </c>
      <c r="D53">
        <v>179</v>
      </c>
      <c r="E53">
        <v>22.32</v>
      </c>
    </row>
    <row r="54" spans="1:5" x14ac:dyDescent="0.3">
      <c r="A54" t="s">
        <v>45</v>
      </c>
      <c r="B54">
        <v>452</v>
      </c>
      <c r="C54">
        <v>0.41</v>
      </c>
      <c r="D54">
        <v>88</v>
      </c>
      <c r="E54">
        <v>19.47</v>
      </c>
    </row>
    <row r="55" spans="1:5" x14ac:dyDescent="0.3">
      <c r="A55" t="s">
        <v>44</v>
      </c>
      <c r="B55">
        <v>69</v>
      </c>
      <c r="C55">
        <v>0.06</v>
      </c>
      <c r="D55">
        <v>12</v>
      </c>
      <c r="E55">
        <v>17.39</v>
      </c>
    </row>
    <row r="56" spans="1:5" x14ac:dyDescent="0.3">
      <c r="A56" t="s">
        <v>43</v>
      </c>
      <c r="B56">
        <v>1035</v>
      </c>
      <c r="C56">
        <v>0.94</v>
      </c>
      <c r="D56">
        <v>190</v>
      </c>
      <c r="E56">
        <v>18.36</v>
      </c>
    </row>
    <row r="57" spans="1:5" x14ac:dyDescent="0.3">
      <c r="A57" t="s">
        <v>121</v>
      </c>
      <c r="B57">
        <v>1288</v>
      </c>
      <c r="C57">
        <v>1.17</v>
      </c>
      <c r="D57">
        <v>294</v>
      </c>
      <c r="E57">
        <v>22.83</v>
      </c>
    </row>
    <row r="58" spans="1:5" x14ac:dyDescent="0.3">
      <c r="A58" t="s">
        <v>120</v>
      </c>
      <c r="B58">
        <v>1553</v>
      </c>
      <c r="C58">
        <v>1.41</v>
      </c>
      <c r="D58">
        <v>275</v>
      </c>
      <c r="E58">
        <v>17.71</v>
      </c>
    </row>
    <row r="59" spans="1:5" x14ac:dyDescent="0.3">
      <c r="A59" t="s">
        <v>119</v>
      </c>
      <c r="B59">
        <v>835</v>
      </c>
      <c r="C59">
        <v>0.76</v>
      </c>
      <c r="D59">
        <v>143</v>
      </c>
      <c r="E59">
        <v>17.13</v>
      </c>
    </row>
    <row r="60" spans="1:5" x14ac:dyDescent="0.3">
      <c r="A60" t="s">
        <v>118</v>
      </c>
      <c r="B60">
        <v>4430</v>
      </c>
      <c r="C60">
        <v>4.01</v>
      </c>
      <c r="D60">
        <v>905</v>
      </c>
      <c r="E60">
        <v>20.43</v>
      </c>
    </row>
    <row r="61" spans="1:5" x14ac:dyDescent="0.3">
      <c r="A61" t="s">
        <v>117</v>
      </c>
      <c r="B61">
        <v>2215</v>
      </c>
      <c r="C61">
        <v>2</v>
      </c>
      <c r="D61">
        <v>474</v>
      </c>
      <c r="E61">
        <v>21.4</v>
      </c>
    </row>
    <row r="62" spans="1:5" x14ac:dyDescent="0.3">
      <c r="A62" t="s">
        <v>116</v>
      </c>
      <c r="B62">
        <v>448</v>
      </c>
      <c r="C62">
        <v>0.41</v>
      </c>
      <c r="D62">
        <v>123</v>
      </c>
      <c r="E62">
        <v>27.46</v>
      </c>
    </row>
    <row r="63" spans="1:5" x14ac:dyDescent="0.3">
      <c r="A63" t="s">
        <v>42</v>
      </c>
      <c r="B63">
        <v>506</v>
      </c>
      <c r="C63">
        <v>0.46</v>
      </c>
      <c r="D63">
        <v>134</v>
      </c>
      <c r="E63">
        <v>26.48</v>
      </c>
    </row>
    <row r="64" spans="1:5" x14ac:dyDescent="0.3">
      <c r="A64" t="s">
        <v>41</v>
      </c>
      <c r="B64">
        <v>178</v>
      </c>
      <c r="C64">
        <v>0.16</v>
      </c>
      <c r="D64">
        <v>37</v>
      </c>
      <c r="E64">
        <v>20.79</v>
      </c>
    </row>
    <row r="65" spans="1:5" x14ac:dyDescent="0.3">
      <c r="A65" t="s">
        <v>115</v>
      </c>
      <c r="B65">
        <v>428</v>
      </c>
      <c r="C65">
        <v>0.39</v>
      </c>
      <c r="D65">
        <v>77</v>
      </c>
      <c r="E65">
        <v>17.989999999999998</v>
      </c>
    </row>
    <row r="66" spans="1:5" x14ac:dyDescent="0.3">
      <c r="A66" t="s">
        <v>114</v>
      </c>
      <c r="B66">
        <v>438</v>
      </c>
      <c r="C66">
        <v>0.4</v>
      </c>
      <c r="D66">
        <v>86</v>
      </c>
      <c r="E66">
        <v>19.63</v>
      </c>
    </row>
    <row r="67" spans="1:5" x14ac:dyDescent="0.3">
      <c r="A67" t="s">
        <v>40</v>
      </c>
      <c r="B67">
        <v>3131</v>
      </c>
      <c r="C67">
        <v>2.83</v>
      </c>
      <c r="D67">
        <v>496</v>
      </c>
      <c r="E67">
        <v>15.84</v>
      </c>
    </row>
    <row r="68" spans="1:5" x14ac:dyDescent="0.3">
      <c r="A68" t="s">
        <v>39</v>
      </c>
      <c r="B68">
        <v>1332</v>
      </c>
      <c r="C68">
        <v>1.21</v>
      </c>
      <c r="D68">
        <v>272</v>
      </c>
      <c r="E68">
        <v>20.420000000000002</v>
      </c>
    </row>
    <row r="69" spans="1:5" x14ac:dyDescent="0.3">
      <c r="A69" t="s">
        <v>113</v>
      </c>
      <c r="B69">
        <v>2571</v>
      </c>
      <c r="C69">
        <v>2.33</v>
      </c>
      <c r="D69">
        <v>508</v>
      </c>
      <c r="E69">
        <v>19.760000000000002</v>
      </c>
    </row>
    <row r="70" spans="1:5" x14ac:dyDescent="0.3">
      <c r="A70" t="s">
        <v>112</v>
      </c>
      <c r="B70">
        <v>2744</v>
      </c>
      <c r="C70">
        <v>2.48</v>
      </c>
      <c r="D70">
        <v>482</v>
      </c>
      <c r="E70">
        <v>17.57</v>
      </c>
    </row>
    <row r="71" spans="1:5" x14ac:dyDescent="0.3">
      <c r="A71" t="s">
        <v>38</v>
      </c>
      <c r="B71">
        <v>1276</v>
      </c>
      <c r="C71">
        <v>1.1499999999999999</v>
      </c>
      <c r="D71">
        <v>369</v>
      </c>
      <c r="E71">
        <v>28.92</v>
      </c>
    </row>
    <row r="72" spans="1:5" x14ac:dyDescent="0.3">
      <c r="A72" t="s">
        <v>37</v>
      </c>
      <c r="B72">
        <v>547</v>
      </c>
      <c r="C72">
        <v>0.49</v>
      </c>
      <c r="D72">
        <v>112</v>
      </c>
      <c r="E72">
        <v>20.48</v>
      </c>
    </row>
    <row r="73" spans="1:5" x14ac:dyDescent="0.3">
      <c r="A73" t="s">
        <v>111</v>
      </c>
      <c r="B73">
        <v>145</v>
      </c>
      <c r="C73">
        <v>0.13</v>
      </c>
      <c r="D73">
        <v>28</v>
      </c>
      <c r="E73">
        <v>19.309999999999999</v>
      </c>
    </row>
    <row r="74" spans="1:5" x14ac:dyDescent="0.3">
      <c r="A74" t="s">
        <v>36</v>
      </c>
      <c r="B74">
        <v>469</v>
      </c>
      <c r="C74">
        <v>0.42</v>
      </c>
      <c r="D74">
        <v>69</v>
      </c>
      <c r="E74">
        <v>14.71</v>
      </c>
    </row>
    <row r="75" spans="1:5" x14ac:dyDescent="0.3">
      <c r="A75" t="s">
        <v>110</v>
      </c>
      <c r="B75">
        <v>1439</v>
      </c>
      <c r="C75">
        <v>1.3</v>
      </c>
      <c r="D75">
        <v>287</v>
      </c>
      <c r="E75">
        <v>19.940000000000001</v>
      </c>
    </row>
    <row r="76" spans="1:5" x14ac:dyDescent="0.3">
      <c r="A76" t="s">
        <v>109</v>
      </c>
      <c r="B76">
        <v>1836</v>
      </c>
      <c r="C76">
        <v>1.66</v>
      </c>
      <c r="D76">
        <v>363</v>
      </c>
      <c r="E76">
        <v>19.77</v>
      </c>
    </row>
    <row r="77" spans="1:5" x14ac:dyDescent="0.3">
      <c r="A77" t="s">
        <v>108</v>
      </c>
      <c r="B77">
        <v>1977</v>
      </c>
      <c r="C77">
        <v>1.79</v>
      </c>
      <c r="D77">
        <v>428</v>
      </c>
      <c r="E77">
        <v>21.65</v>
      </c>
    </row>
    <row r="78" spans="1:5" x14ac:dyDescent="0.3">
      <c r="A78" t="s">
        <v>107</v>
      </c>
      <c r="B78">
        <v>2448</v>
      </c>
      <c r="C78">
        <v>2.21</v>
      </c>
      <c r="D78">
        <v>515</v>
      </c>
      <c r="E78">
        <v>21.04</v>
      </c>
    </row>
    <row r="79" spans="1:5" x14ac:dyDescent="0.3">
      <c r="A79" t="s">
        <v>35</v>
      </c>
      <c r="B79">
        <v>3131</v>
      </c>
      <c r="C79">
        <v>2.83</v>
      </c>
      <c r="D79">
        <v>572</v>
      </c>
      <c r="E79">
        <v>18.27</v>
      </c>
    </row>
    <row r="80" spans="1:5" x14ac:dyDescent="0.3">
      <c r="A80" t="s">
        <v>106</v>
      </c>
      <c r="B80">
        <v>152</v>
      </c>
      <c r="C80">
        <v>0.14000000000000001</v>
      </c>
      <c r="D80">
        <v>32</v>
      </c>
      <c r="E80">
        <v>21.05</v>
      </c>
    </row>
    <row r="81" spans="1:5" x14ac:dyDescent="0.3">
      <c r="A81" t="s">
        <v>34</v>
      </c>
      <c r="B81">
        <v>851</v>
      </c>
      <c r="C81">
        <v>0.77</v>
      </c>
      <c r="D81">
        <v>141</v>
      </c>
      <c r="E81">
        <v>16.57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006C-11C4-4FDB-AA07-4AD35BA4089A}">
  <dimension ref="A1:E3"/>
  <sheetViews>
    <sheetView workbookViewId="0">
      <selection sqref="A1:E3"/>
    </sheetView>
  </sheetViews>
  <sheetFormatPr defaultRowHeight="14.4" x14ac:dyDescent="0.3"/>
  <sheetData>
    <row r="1" spans="1:5" x14ac:dyDescent="0.3">
      <c r="A1" t="s">
        <v>88</v>
      </c>
      <c r="B1" t="s">
        <v>1</v>
      </c>
      <c r="C1" t="s">
        <v>87</v>
      </c>
      <c r="D1" t="s">
        <v>3</v>
      </c>
      <c r="E1" t="s">
        <v>4</v>
      </c>
    </row>
    <row r="2" spans="1:5" x14ac:dyDescent="0.3">
      <c r="A2">
        <v>0</v>
      </c>
      <c r="B2">
        <v>99661</v>
      </c>
      <c r="C2">
        <v>90.17</v>
      </c>
      <c r="D2">
        <v>19736</v>
      </c>
      <c r="E2">
        <v>19.8</v>
      </c>
    </row>
    <row r="3" spans="1:5" x14ac:dyDescent="0.3">
      <c r="A3">
        <v>1</v>
      </c>
      <c r="B3">
        <v>10861</v>
      </c>
      <c r="C3">
        <v>9.83</v>
      </c>
      <c r="D3">
        <v>2578</v>
      </c>
      <c r="E3">
        <v>23.74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738F-E537-485C-A20B-477E48E2CA95}">
  <dimension ref="A1:E3"/>
  <sheetViews>
    <sheetView workbookViewId="0">
      <selection sqref="A1:E3"/>
    </sheetView>
  </sheetViews>
  <sheetFormatPr defaultRowHeight="14.4" x14ac:dyDescent="0.3"/>
  <sheetData>
    <row r="1" spans="1:5" x14ac:dyDescent="0.3">
      <c r="A1" t="s">
        <v>90</v>
      </c>
      <c r="B1" t="s">
        <v>1</v>
      </c>
      <c r="C1" t="s">
        <v>89</v>
      </c>
      <c r="D1" t="s">
        <v>3</v>
      </c>
      <c r="E1" t="s">
        <v>4</v>
      </c>
    </row>
    <row r="2" spans="1:5" x14ac:dyDescent="0.3">
      <c r="A2">
        <v>0</v>
      </c>
      <c r="B2">
        <v>75040</v>
      </c>
      <c r="C2">
        <v>67.900000000000006</v>
      </c>
      <c r="D2">
        <v>12530</v>
      </c>
      <c r="E2">
        <v>16.7</v>
      </c>
    </row>
    <row r="3" spans="1:5" x14ac:dyDescent="0.3">
      <c r="A3">
        <v>1</v>
      </c>
      <c r="B3">
        <v>35482</v>
      </c>
      <c r="C3">
        <v>32.1</v>
      </c>
      <c r="D3">
        <v>9784</v>
      </c>
      <c r="E3">
        <v>27.57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age_analysis</vt:lpstr>
      <vt:lpstr>sms_waiting_days_correlation</vt:lpstr>
      <vt:lpstr>waiting_days_analysis</vt:lpstr>
      <vt:lpstr>waiting_days_category_analysis</vt:lpstr>
      <vt:lpstr>extra_info</vt:lpstr>
      <vt:lpstr>alcoholism_analysis</vt:lpstr>
      <vt:lpstr>appointment_day_analysis</vt:lpstr>
      <vt:lpstr>appointment_month_analysis</vt:lpstr>
      <vt:lpstr>diabetes_analysis</vt:lpstr>
      <vt:lpstr>gender_analysis</vt:lpstr>
      <vt:lpstr>handicapped_analysis</vt:lpstr>
      <vt:lpstr>hypertension_analysis</vt:lpstr>
      <vt:lpstr>neighbourhood_analysis</vt:lpstr>
      <vt:lpstr>scholarship_analysis</vt:lpstr>
      <vt:lpstr>sms_received_analysis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Wagle</dc:creator>
  <cp:lastModifiedBy>Suyog Wagle</cp:lastModifiedBy>
  <dcterms:created xsi:type="dcterms:W3CDTF">2026-06-08T08:02:38Z</dcterms:created>
  <dcterms:modified xsi:type="dcterms:W3CDTF">2026-06-11T13:17:43Z</dcterms:modified>
</cp:coreProperties>
</file>